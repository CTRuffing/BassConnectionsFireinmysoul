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20231001-20231104" sheetId="2" state="visible" r:id="rId2"/>
    <sheet name="20231105-20231120" sheetId="3" state="visible" r:id="rId3"/>
    <sheet name="20231121-20231205" sheetId="4" state="visible" r:id="rId4"/>
    <sheet name="20231206-20240219" sheetId="5" state="visible" r:id="rId5"/>
    <sheet name="20240220-20240317" sheetId="6" state="visible" r:id="rId6"/>
    <sheet name="20240318-20240502" sheetId="7" state="visible" r:id="rId7"/>
    <sheet name="20240503-20240630" sheetId="8" state="visible" r:id="rId8"/>
    <sheet name="20240701-20240731" sheetId="9" state="visible" r:id="rId9"/>
    <sheet name="20240801-20240824" sheetId="10" state="visible" r:id="rId10"/>
    <sheet name="20240825-20240831" sheetId="11" state="visible" r:id="rId11"/>
    <sheet name="20240901-20250318" sheetId="12" state="visible" r:id="rId12"/>
    <sheet name="20250319-20250512" sheetId="13" state="visible" r:id="rId13"/>
    <sheet name="20250513-202605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999999"/>
      <sz val="10"/>
    </font>
  </fonts>
  <fills count="7">
    <fill>
      <patternFill/>
    </fill>
    <fill>
      <patternFill patternType="gray125"/>
    </fill>
    <fill>
      <patternFill patternType="solid">
        <fgColor rgb="000D2B55"/>
        <bgColor rgb="000D2B55"/>
      </patternFill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6" customWidth="1" min="4" max="4"/>
    <col width="16" customWidth="1" min="5" max="5"/>
  </cols>
  <sheetData>
    <row r="1">
      <c r="A1" s="1" t="inlineStr">
        <is>
          <t>Period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Open Hospitals</t>
        </is>
      </c>
      <c r="E1" s="1" t="inlineStr">
        <is>
          <t>Total Attacks</t>
        </is>
      </c>
    </row>
    <row r="2">
      <c r="A2" s="2" t="inlineStr">
        <is>
          <t>2023-10-01 → 2023-11-04</t>
        </is>
      </c>
      <c r="B2" s="3" t="inlineStr">
        <is>
          <t>2023-10-01</t>
        </is>
      </c>
      <c r="C2" s="3" t="inlineStr">
        <is>
          <t>2023-11-04</t>
        </is>
      </c>
      <c r="D2" s="3" t="n">
        <v>6</v>
      </c>
      <c r="E2" s="3" t="n">
        <v>959</v>
      </c>
    </row>
    <row r="3">
      <c r="A3" s="2" t="inlineStr">
        <is>
          <t>2023-11-05 → 2023-11-20</t>
        </is>
      </c>
      <c r="B3" s="3" t="inlineStr">
        <is>
          <t>2023-11-05</t>
        </is>
      </c>
      <c r="C3" s="3" t="inlineStr">
        <is>
          <t>2023-11-20</t>
        </is>
      </c>
      <c r="D3" s="3" t="n">
        <v>5</v>
      </c>
      <c r="E3" s="3" t="n">
        <v>588</v>
      </c>
    </row>
    <row r="4">
      <c r="A4" s="2" t="inlineStr">
        <is>
          <t>2023-11-21 → 2023-12-05</t>
        </is>
      </c>
      <c r="B4" s="3" t="inlineStr">
        <is>
          <t>2023-11-21</t>
        </is>
      </c>
      <c r="C4" s="3" t="inlineStr">
        <is>
          <t>2023-12-05</t>
        </is>
      </c>
      <c r="D4" s="3" t="n">
        <v>4</v>
      </c>
      <c r="E4" s="3" t="n">
        <v>189</v>
      </c>
    </row>
    <row r="5">
      <c r="A5" s="2" t="inlineStr">
        <is>
          <t>2023-12-06 → 2024-02-19</t>
        </is>
      </c>
      <c r="B5" s="3" t="inlineStr">
        <is>
          <t>2023-12-06</t>
        </is>
      </c>
      <c r="C5" s="3" t="inlineStr">
        <is>
          <t>2024-02-19</t>
        </is>
      </c>
      <c r="D5" s="3" t="n">
        <v>5</v>
      </c>
      <c r="E5" s="3" t="n">
        <v>2859</v>
      </c>
    </row>
    <row r="6">
      <c r="A6" s="2" t="inlineStr">
        <is>
          <t>2024-02-20 → 2024-03-17</t>
        </is>
      </c>
      <c r="B6" s="3" t="inlineStr">
        <is>
          <t>2024-02-20</t>
        </is>
      </c>
      <c r="C6" s="3" t="inlineStr">
        <is>
          <t>2024-03-17</t>
        </is>
      </c>
      <c r="D6" s="3" t="n">
        <v>4</v>
      </c>
      <c r="E6" s="3" t="n">
        <v>709</v>
      </c>
    </row>
    <row r="7">
      <c r="A7" s="2" t="inlineStr">
        <is>
          <t>2024-03-18 → 2024-05-02</t>
        </is>
      </c>
      <c r="B7" s="3" t="inlineStr">
        <is>
          <t>2024-03-18</t>
        </is>
      </c>
      <c r="C7" s="3" t="inlineStr">
        <is>
          <t>2024-05-02</t>
        </is>
      </c>
      <c r="D7" s="3" t="n">
        <v>3</v>
      </c>
      <c r="E7" s="3" t="n">
        <v>595</v>
      </c>
    </row>
    <row r="8">
      <c r="A8" s="2" t="inlineStr">
        <is>
          <t>2024-05-03 → 2024-06-30</t>
        </is>
      </c>
      <c r="B8" s="3" t="inlineStr">
        <is>
          <t>2024-05-03</t>
        </is>
      </c>
      <c r="C8" s="3" t="inlineStr">
        <is>
          <t>2024-06-30</t>
        </is>
      </c>
      <c r="D8" s="3" t="n">
        <v>4</v>
      </c>
      <c r="E8" s="3" t="n">
        <v>1098</v>
      </c>
    </row>
    <row r="9">
      <c r="A9" s="2" t="inlineStr">
        <is>
          <t>2024-07-01 → 2024-07-31</t>
        </is>
      </c>
      <c r="B9" s="3" t="inlineStr">
        <is>
          <t>2024-07-01</t>
        </is>
      </c>
      <c r="C9" s="3" t="inlineStr">
        <is>
          <t>2024-07-31</t>
        </is>
      </c>
      <c r="D9" s="3" t="n">
        <v>3</v>
      </c>
      <c r="E9" s="3" t="n">
        <v>547</v>
      </c>
    </row>
    <row r="10">
      <c r="A10" s="2" t="inlineStr">
        <is>
          <t>2024-08-01 → 2024-08-24</t>
        </is>
      </c>
      <c r="B10" s="3" t="inlineStr">
        <is>
          <t>2024-08-01</t>
        </is>
      </c>
      <c r="C10" s="3" t="inlineStr">
        <is>
          <t>2024-08-24</t>
        </is>
      </c>
      <c r="D10" s="3" t="n">
        <v>2</v>
      </c>
      <c r="E10" s="3" t="n">
        <v>333</v>
      </c>
    </row>
    <row r="11">
      <c r="A11" s="2" t="inlineStr">
        <is>
          <t>2024-08-25 → 2024-08-31</t>
        </is>
      </c>
      <c r="B11" s="3" t="inlineStr">
        <is>
          <t>2024-08-25</t>
        </is>
      </c>
      <c r="C11" s="3" t="inlineStr">
        <is>
          <t>2024-08-31</t>
        </is>
      </c>
      <c r="D11" s="3" t="n">
        <v>3</v>
      </c>
      <c r="E11" s="3" t="n">
        <v>106</v>
      </c>
    </row>
    <row r="12">
      <c r="A12" s="2" t="inlineStr">
        <is>
          <t>2024-09-01 → 2025-03-18</t>
        </is>
      </c>
      <c r="B12" s="3" t="inlineStr">
        <is>
          <t>2024-09-01</t>
        </is>
      </c>
      <c r="C12" s="3" t="inlineStr">
        <is>
          <t>2025-03-18</t>
        </is>
      </c>
      <c r="D12" s="3" t="n">
        <v>4</v>
      </c>
      <c r="E12" s="3" t="n">
        <v>2983</v>
      </c>
    </row>
    <row r="13">
      <c r="A13" s="2" t="inlineStr">
        <is>
          <t>2025-03-19 → 2025-05-12</t>
        </is>
      </c>
      <c r="B13" s="3" t="inlineStr">
        <is>
          <t>2025-03-19</t>
        </is>
      </c>
      <c r="C13" s="3" t="inlineStr">
        <is>
          <t>2025-05-12</t>
        </is>
      </c>
      <c r="D13" s="3" t="n">
        <v>5</v>
      </c>
      <c r="E13" s="3" t="n">
        <v>1230</v>
      </c>
    </row>
    <row r="14">
      <c r="A14" s="2" t="inlineStr">
        <is>
          <t>2025-05-13 → 2026-05-13</t>
        </is>
      </c>
      <c r="B14" s="3" t="inlineStr">
        <is>
          <t>2025-05-13</t>
        </is>
      </c>
      <c r="C14" s="3" t="inlineStr">
        <is>
          <t>2026-05-13</t>
        </is>
      </c>
      <c r="D14" s="3" t="n">
        <v>4</v>
      </c>
      <c r="E14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12" customWidth="1" min="4" max="4"/>
    <col width="22" customWidth="1" min="5" max="5"/>
    <col width="24" customWidth="1" min="6" max="6"/>
  </cols>
  <sheetData>
    <row r="1" ht="18" customHeight="1">
      <c r="A1" s="4" t="inlineStr">
        <is>
          <t>Period: 2023-10-01 to 2023-11-04</t>
        </is>
      </c>
    </row>
    <row r="2" ht="16" customHeight="1">
      <c r="A2" s="1" t="inlineStr">
        <is>
          <t>Hospital</t>
        </is>
      </c>
      <c r="B2" s="1" t="inlineStr">
        <is>
          <t>Status</t>
        </is>
      </c>
      <c r="C2" s="1" t="inlineStr">
        <is>
          <t>Catchment Area (km²)</t>
        </is>
      </c>
      <c r="D2" s="1" t="inlineStr">
        <is>
          <t>% of Gaza</t>
        </is>
      </c>
      <c r="E2" s="1" t="inlineStr">
        <is>
          <t>Attacks in Catchment</t>
        </is>
      </c>
      <c r="F2" s="1" t="inlineStr">
        <is>
          <t>Total Attacks in Period</t>
        </is>
      </c>
    </row>
    <row r="3">
      <c r="A3" s="5" t="inlineStr">
        <is>
          <t>Al Shifa Medical Hospital</t>
        </is>
      </c>
      <c r="B3" s="6" t="inlineStr">
        <is>
          <t>Open</t>
        </is>
      </c>
      <c r="C3" s="7" t="n">
        <v>29.3587</v>
      </c>
      <c r="D3" s="8">
        <f>C3/364.871</f>
        <v/>
      </c>
      <c r="E3" s="9" t="n">
        <v>373</v>
      </c>
      <c r="F3" s="9" t="n">
        <v>959</v>
      </c>
    </row>
    <row r="4">
      <c r="A4" s="5" t="inlineStr">
        <is>
          <t>Al-Quds Hospital</t>
        </is>
      </c>
      <c r="B4" s="6" t="inlineStr">
        <is>
          <t>Open</t>
        </is>
      </c>
      <c r="C4" s="7" t="n">
        <v>33.0543</v>
      </c>
      <c r="D4" s="8">
        <f>C4/364.871</f>
        <v/>
      </c>
      <c r="E4" s="9" t="n">
        <v>117</v>
      </c>
      <c r="F4" s="9" t="n">
        <v>959</v>
      </c>
    </row>
    <row r="5">
      <c r="A5" s="5" t="inlineStr">
        <is>
          <t>Nasser Hospital</t>
        </is>
      </c>
      <c r="B5" s="6" t="inlineStr">
        <is>
          <t>Open</t>
        </is>
      </c>
      <c r="C5" s="7" t="n">
        <v>51.4276</v>
      </c>
      <c r="D5" s="8">
        <f>C5/364.871</f>
        <v/>
      </c>
      <c r="E5" s="9" t="n">
        <v>153</v>
      </c>
      <c r="F5" s="9" t="n">
        <v>959</v>
      </c>
    </row>
    <row r="6">
      <c r="A6" s="5" t="inlineStr">
        <is>
          <t>European Hospital</t>
        </is>
      </c>
      <c r="B6" s="6" t="inlineStr">
        <is>
          <t>Open</t>
        </is>
      </c>
      <c r="C6" s="7" t="n">
        <v>54.1943</v>
      </c>
      <c r="D6" s="8">
        <f>C6/364.871</f>
        <v/>
      </c>
      <c r="E6" s="9" t="n">
        <v>31</v>
      </c>
      <c r="F6" s="9" t="n">
        <v>959</v>
      </c>
    </row>
    <row r="7">
      <c r="A7" s="5" t="inlineStr">
        <is>
          <t>Kuwait Hospital</t>
        </is>
      </c>
      <c r="B7" s="6" t="inlineStr">
        <is>
          <t>Open</t>
        </is>
      </c>
      <c r="C7" s="7" t="n">
        <v>36.557</v>
      </c>
      <c r="D7" s="8">
        <f>C7/364.871</f>
        <v/>
      </c>
      <c r="E7" s="9" t="n">
        <v>116</v>
      </c>
      <c r="F7" s="9" t="n">
        <v>959</v>
      </c>
    </row>
    <row r="8">
      <c r="A8" s="5" t="inlineStr">
        <is>
          <t>Al-Aqsa Hospital</t>
        </is>
      </c>
      <c r="B8" s="6" t="inlineStr">
        <is>
          <t>Open</t>
        </is>
      </c>
      <c r="C8" s="7" t="n">
        <v>54.398</v>
      </c>
      <c r="D8" s="8">
        <f>C8/364.871</f>
        <v/>
      </c>
      <c r="E8" s="9" t="n">
        <v>169</v>
      </c>
      <c r="F8" s="9" t="n">
        <v>959</v>
      </c>
    </row>
    <row r="9">
      <c r="A9" s="10" t="inlineStr">
        <is>
          <t>TOTAL</t>
        </is>
      </c>
      <c r="B9" s="11" t="inlineStr">
        <is>
          <t>6 open</t>
        </is>
      </c>
      <c r="C9" s="12">
        <f>C3+C4+C5+C6+C7+C8</f>
        <v/>
      </c>
      <c r="D9" s="13">
        <f>C9/364.871</f>
        <v/>
      </c>
      <c r="E9" s="14">
        <f>E3+E4+E5+E6+E7+E8</f>
        <v/>
      </c>
      <c r="F9" s="14" t="n">
        <v>959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12" customWidth="1" min="4" max="4"/>
    <col width="22" customWidth="1" min="5" max="5"/>
    <col width="24" customWidth="1" min="6" max="6"/>
  </cols>
  <sheetData>
    <row r="1" ht="18" customHeight="1">
      <c r="A1" s="4" t="inlineStr">
        <is>
          <t>Period: 2023-11-05 to 2023-11-20</t>
        </is>
      </c>
    </row>
    <row r="2" ht="16" customHeight="1">
      <c r="A2" s="1" t="inlineStr">
        <is>
          <t>Hospital</t>
        </is>
      </c>
      <c r="B2" s="1" t="inlineStr">
        <is>
          <t>Status</t>
        </is>
      </c>
      <c r="C2" s="1" t="inlineStr">
        <is>
          <t>Catchment Area (km²)</t>
        </is>
      </c>
      <c r="D2" s="1" t="inlineStr">
        <is>
          <t>% of Gaza</t>
        </is>
      </c>
      <c r="E2" s="1" t="inlineStr">
        <is>
          <t>Attacks in Catchment</t>
        </is>
      </c>
      <c r="F2" s="1" t="inlineStr">
        <is>
          <t>Total Attacks in Period</t>
        </is>
      </c>
    </row>
    <row r="3">
      <c r="A3" s="5" t="inlineStr">
        <is>
          <t>Al Shifa Medical Hospital</t>
        </is>
      </c>
      <c r="B3" s="6" t="inlineStr">
        <is>
          <t>Open</t>
        </is>
      </c>
      <c r="C3" s="7" t="n">
        <v>47.1011</v>
      </c>
      <c r="D3" s="8">
        <f>C3/364.871</f>
        <v/>
      </c>
      <c r="E3" s="9" t="n">
        <v>337</v>
      </c>
      <c r="F3" s="9" t="n">
        <v>588</v>
      </c>
    </row>
    <row r="4">
      <c r="A4" s="15" t="inlineStr">
        <is>
          <t>Al-Quds Hospital</t>
        </is>
      </c>
      <c r="B4" s="16" t="inlineStr">
        <is>
          <t>Closed</t>
        </is>
      </c>
      <c r="C4" s="17" t="inlineStr">
        <is>
          <t>—</t>
        </is>
      </c>
      <c r="D4" s="17" t="inlineStr">
        <is>
          <t>—</t>
        </is>
      </c>
      <c r="E4" s="17" t="inlineStr">
        <is>
          <t>—</t>
        </is>
      </c>
      <c r="F4" s="17" t="n">
        <v>588</v>
      </c>
    </row>
    <row r="5">
      <c r="A5" s="5" t="inlineStr">
        <is>
          <t>Nasser Hospital</t>
        </is>
      </c>
      <c r="B5" s="6" t="inlineStr">
        <is>
          <t>Open</t>
        </is>
      </c>
      <c r="C5" s="7" t="n">
        <v>51.4276</v>
      </c>
      <c r="D5" s="8">
        <f>C5/364.871</f>
        <v/>
      </c>
      <c r="E5" s="9" t="n">
        <v>94</v>
      </c>
      <c r="F5" s="9" t="n">
        <v>588</v>
      </c>
    </row>
    <row r="6">
      <c r="A6" s="5" t="inlineStr">
        <is>
          <t>European Hospital</t>
        </is>
      </c>
      <c r="B6" s="6" t="inlineStr">
        <is>
          <t>Open</t>
        </is>
      </c>
      <c r="C6" s="7" t="n">
        <v>54.1943</v>
      </c>
      <c r="D6" s="8">
        <f>C6/364.871</f>
        <v/>
      </c>
      <c r="E6" s="9" t="n">
        <v>12</v>
      </c>
      <c r="F6" s="9" t="n">
        <v>588</v>
      </c>
    </row>
    <row r="7">
      <c r="A7" s="5" t="inlineStr">
        <is>
          <t>Kuwait Hospital</t>
        </is>
      </c>
      <c r="B7" s="6" t="inlineStr">
        <is>
          <t>Open</t>
        </is>
      </c>
      <c r="C7" s="7" t="n">
        <v>36.557</v>
      </c>
      <c r="D7" s="8">
        <f>C7/364.871</f>
        <v/>
      </c>
      <c r="E7" s="9" t="n">
        <v>47</v>
      </c>
      <c r="F7" s="9" t="n">
        <v>588</v>
      </c>
    </row>
    <row r="8">
      <c r="A8" s="5" t="inlineStr">
        <is>
          <t>Al-Aqsa Hospital</t>
        </is>
      </c>
      <c r="B8" s="6" t="inlineStr">
        <is>
          <t>Open</t>
        </is>
      </c>
      <c r="C8" s="7" t="n">
        <v>54.398</v>
      </c>
      <c r="D8" s="8">
        <f>C8/364.871</f>
        <v/>
      </c>
      <c r="E8" s="9" t="n">
        <v>98</v>
      </c>
      <c r="F8" s="9" t="n">
        <v>588</v>
      </c>
    </row>
    <row r="9">
      <c r="A9" s="10" t="inlineStr">
        <is>
          <t>TOTAL</t>
        </is>
      </c>
      <c r="B9" s="11" t="inlineStr">
        <is>
          <t>5 open</t>
        </is>
      </c>
      <c r="C9" s="12">
        <f>C3+C5+C6+C7+C8</f>
        <v/>
      </c>
      <c r="D9" s="13">
        <f>C9/364.871</f>
        <v/>
      </c>
      <c r="E9" s="14">
        <f>E3+E5+E6+E7+E8</f>
        <v/>
      </c>
      <c r="F9" s="14" t="n">
        <v>588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12" customWidth="1" min="4" max="4"/>
    <col width="22" customWidth="1" min="5" max="5"/>
    <col width="24" customWidth="1" min="6" max="6"/>
  </cols>
  <sheetData>
    <row r="1" ht="18" customHeight="1">
      <c r="A1" s="4" t="inlineStr">
        <is>
          <t>Period: 2023-11-21 to 2023-12-05</t>
        </is>
      </c>
    </row>
    <row r="2" ht="16" customHeight="1">
      <c r="A2" s="1" t="inlineStr">
        <is>
          <t>Hospital</t>
        </is>
      </c>
      <c r="B2" s="1" t="inlineStr">
        <is>
          <t>Status</t>
        </is>
      </c>
      <c r="C2" s="1" t="inlineStr">
        <is>
          <t>Catchment Area (km²)</t>
        </is>
      </c>
      <c r="D2" s="1" t="inlineStr">
        <is>
          <t>% of Gaza</t>
        </is>
      </c>
      <c r="E2" s="1" t="inlineStr">
        <is>
          <t>Attacks in Catchment</t>
        </is>
      </c>
      <c r="F2" s="1" t="inlineStr">
        <is>
          <t>Total Attacks in Period</t>
        </is>
      </c>
    </row>
    <row r="3">
      <c r="A3" s="15" t="inlineStr">
        <is>
          <t>Al Shifa Medical Hospital</t>
        </is>
      </c>
      <c r="B3" s="16" t="inlineStr">
        <is>
          <t>Closed</t>
        </is>
      </c>
      <c r="C3" s="17" t="inlineStr">
        <is>
          <t>—</t>
        </is>
      </c>
      <c r="D3" s="17" t="inlineStr">
        <is>
          <t>—</t>
        </is>
      </c>
      <c r="E3" s="17" t="inlineStr">
        <is>
          <t>—</t>
        </is>
      </c>
      <c r="F3" s="17" t="n">
        <v>189</v>
      </c>
    </row>
    <row r="4">
      <c r="A4" s="15" t="inlineStr">
        <is>
          <t>Al-Quds Hospital</t>
        </is>
      </c>
      <c r="B4" s="16" t="inlineStr">
        <is>
          <t>Closed</t>
        </is>
      </c>
      <c r="C4" s="17" t="inlineStr">
        <is>
          <t>—</t>
        </is>
      </c>
      <c r="D4" s="17" t="inlineStr">
        <is>
          <t>—</t>
        </is>
      </c>
      <c r="E4" s="17" t="inlineStr">
        <is>
          <t>—</t>
        </is>
      </c>
      <c r="F4" s="17" t="n">
        <v>189</v>
      </c>
    </row>
    <row r="5">
      <c r="A5" s="5" t="inlineStr">
        <is>
          <t>Nasser Hospital</t>
        </is>
      </c>
      <c r="B5" s="6" t="inlineStr">
        <is>
          <t>Open</t>
        </is>
      </c>
      <c r="C5" s="7" t="n">
        <v>51.4263</v>
      </c>
      <c r="D5" s="8">
        <f>C5/364.871</f>
        <v/>
      </c>
      <c r="E5" s="9" t="n">
        <v>78</v>
      </c>
      <c r="F5" s="9" t="n">
        <v>189</v>
      </c>
    </row>
    <row r="6">
      <c r="A6" s="5" t="inlineStr">
        <is>
          <t>European Hospital</t>
        </is>
      </c>
      <c r="B6" s="6" t="inlineStr">
        <is>
          <t>Open</t>
        </is>
      </c>
      <c r="C6" s="7" t="n">
        <v>54.1932</v>
      </c>
      <c r="D6" s="8">
        <f>C6/364.871</f>
        <v/>
      </c>
      <c r="E6" s="9" t="n">
        <v>9</v>
      </c>
      <c r="F6" s="9" t="n">
        <v>189</v>
      </c>
    </row>
    <row r="7">
      <c r="A7" s="5" t="inlineStr">
        <is>
          <t>Kuwait Hospital</t>
        </is>
      </c>
      <c r="B7" s="6" t="inlineStr">
        <is>
          <t>Open</t>
        </is>
      </c>
      <c r="C7" s="7" t="n">
        <v>36.5592</v>
      </c>
      <c r="D7" s="8">
        <f>C7/364.871</f>
        <v/>
      </c>
      <c r="E7" s="9" t="n">
        <v>30</v>
      </c>
      <c r="F7" s="9" t="n">
        <v>189</v>
      </c>
    </row>
    <row r="8">
      <c r="A8" s="5" t="inlineStr">
        <is>
          <t>Al-Aqsa Hospital</t>
        </is>
      </c>
      <c r="B8" s="6" t="inlineStr">
        <is>
          <t>Open</t>
        </is>
      </c>
      <c r="C8" s="7" t="n">
        <v>54.398</v>
      </c>
      <c r="D8" s="8">
        <f>C8/364.871</f>
        <v/>
      </c>
      <c r="E8" s="9" t="n">
        <v>72</v>
      </c>
      <c r="F8" s="9" t="n">
        <v>189</v>
      </c>
    </row>
    <row r="9">
      <c r="A9" s="10" t="inlineStr">
        <is>
          <t>TOTAL</t>
        </is>
      </c>
      <c r="B9" s="11" t="inlineStr">
        <is>
          <t>4 open</t>
        </is>
      </c>
      <c r="C9" s="12">
        <f>C5+C6+C7+C8</f>
        <v/>
      </c>
      <c r="D9" s="13">
        <f>C9/364.871</f>
        <v/>
      </c>
      <c r="E9" s="14">
        <f>E5+E6+E7+E8</f>
        <v/>
      </c>
      <c r="F9" s="14" t="n">
        <v>189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12" customWidth="1" min="4" max="4"/>
    <col width="22" customWidth="1" min="5" max="5"/>
    <col width="24" customWidth="1" min="6" max="6"/>
  </cols>
  <sheetData>
    <row r="1" ht="18" customHeight="1">
      <c r="A1" s="4" t="inlineStr">
        <is>
          <t>Period: 2023-12-06 to 2024-02-19</t>
        </is>
      </c>
    </row>
    <row r="2" ht="16" customHeight="1">
      <c r="A2" s="1" t="inlineStr">
        <is>
          <t>Hospital</t>
        </is>
      </c>
      <c r="B2" s="1" t="inlineStr">
        <is>
          <t>Status</t>
        </is>
      </c>
      <c r="C2" s="1" t="inlineStr">
        <is>
          <t>Catchment Area (km²)</t>
        </is>
      </c>
      <c r="D2" s="1" t="inlineStr">
        <is>
          <t>% of Gaza</t>
        </is>
      </c>
      <c r="E2" s="1" t="inlineStr">
        <is>
          <t>Attacks in Catchment</t>
        </is>
      </c>
      <c r="F2" s="1" t="inlineStr">
        <is>
          <t>Total Attacks in Period</t>
        </is>
      </c>
    </row>
    <row r="3">
      <c r="A3" s="5" t="inlineStr">
        <is>
          <t>Al Shifa Medical Hospital</t>
        </is>
      </c>
      <c r="B3" s="6" t="inlineStr">
        <is>
          <t>Open</t>
        </is>
      </c>
      <c r="C3" s="7" t="n">
        <v>47.1011</v>
      </c>
      <c r="D3" s="8">
        <f>C3/364.871</f>
        <v/>
      </c>
      <c r="E3" s="9" t="n">
        <v>927</v>
      </c>
      <c r="F3" s="9" t="n">
        <v>2859</v>
      </c>
    </row>
    <row r="4">
      <c r="A4" s="15" t="inlineStr">
        <is>
          <t>Al-Quds Hospital</t>
        </is>
      </c>
      <c r="B4" s="16" t="inlineStr">
        <is>
          <t>Closed</t>
        </is>
      </c>
      <c r="C4" s="17" t="inlineStr">
        <is>
          <t>—</t>
        </is>
      </c>
      <c r="D4" s="17" t="inlineStr">
        <is>
          <t>—</t>
        </is>
      </c>
      <c r="E4" s="17" t="inlineStr">
        <is>
          <t>—</t>
        </is>
      </c>
      <c r="F4" s="17" t="n">
        <v>2859</v>
      </c>
    </row>
    <row r="5">
      <c r="A5" s="5" t="inlineStr">
        <is>
          <t>Nasser Hospital</t>
        </is>
      </c>
      <c r="B5" s="6" t="inlineStr">
        <is>
          <t>Open</t>
        </is>
      </c>
      <c r="C5" s="7" t="n">
        <v>51.4276</v>
      </c>
      <c r="D5" s="8">
        <f>C5/364.871</f>
        <v/>
      </c>
      <c r="E5" s="9" t="n">
        <v>884</v>
      </c>
      <c r="F5" s="9" t="n">
        <v>2859</v>
      </c>
    </row>
    <row r="6">
      <c r="A6" s="5" t="inlineStr">
        <is>
          <t>European Hospital</t>
        </is>
      </c>
      <c r="B6" s="6" t="inlineStr">
        <is>
          <t>Open</t>
        </is>
      </c>
      <c r="C6" s="7" t="n">
        <v>54.1943</v>
      </c>
      <c r="D6" s="8">
        <f>C6/364.871</f>
        <v/>
      </c>
      <c r="E6" s="9" t="n">
        <v>121</v>
      </c>
      <c r="F6" s="9" t="n">
        <v>2859</v>
      </c>
    </row>
    <row r="7">
      <c r="A7" s="5" t="inlineStr">
        <is>
          <t>Kuwait Hospital</t>
        </is>
      </c>
      <c r="B7" s="6" t="inlineStr">
        <is>
          <t>Open</t>
        </is>
      </c>
      <c r="C7" s="7" t="n">
        <v>36.557</v>
      </c>
      <c r="D7" s="8">
        <f>C7/364.871</f>
        <v/>
      </c>
      <c r="E7" s="9" t="n">
        <v>280</v>
      </c>
      <c r="F7" s="9" t="n">
        <v>2859</v>
      </c>
    </row>
    <row r="8">
      <c r="A8" s="5" t="inlineStr">
        <is>
          <t>Al-Aqsa Hospital</t>
        </is>
      </c>
      <c r="B8" s="6" t="inlineStr">
        <is>
          <t>Open</t>
        </is>
      </c>
      <c r="C8" s="7" t="n">
        <v>54.398</v>
      </c>
      <c r="D8" s="8">
        <f>C8/364.871</f>
        <v/>
      </c>
      <c r="E8" s="9" t="n">
        <v>647</v>
      </c>
      <c r="F8" s="9" t="n">
        <v>2859</v>
      </c>
    </row>
    <row r="9">
      <c r="A9" s="10" t="inlineStr">
        <is>
          <t>TOTAL</t>
        </is>
      </c>
      <c r="B9" s="11" t="inlineStr">
        <is>
          <t>5 open</t>
        </is>
      </c>
      <c r="C9" s="12">
        <f>C3+C5+C6+C7+C8</f>
        <v/>
      </c>
      <c r="D9" s="13">
        <f>C9/364.871</f>
        <v/>
      </c>
      <c r="E9" s="14">
        <f>E3+E5+E6+E7+E8</f>
        <v/>
      </c>
      <c r="F9" s="14" t="n">
        <v>2859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12" customWidth="1" min="4" max="4"/>
    <col width="22" customWidth="1" min="5" max="5"/>
    <col width="24" customWidth="1" min="6" max="6"/>
  </cols>
  <sheetData>
    <row r="1" ht="18" customHeight="1">
      <c r="A1" s="4" t="inlineStr">
        <is>
          <t>Period: 2024-02-20 to 2024-03-17</t>
        </is>
      </c>
    </row>
    <row r="2" ht="16" customHeight="1">
      <c r="A2" s="1" t="inlineStr">
        <is>
          <t>Hospital</t>
        </is>
      </c>
      <c r="B2" s="1" t="inlineStr">
        <is>
          <t>Status</t>
        </is>
      </c>
      <c r="C2" s="1" t="inlineStr">
        <is>
          <t>Catchment Area (km²)</t>
        </is>
      </c>
      <c r="D2" s="1" t="inlineStr">
        <is>
          <t>% of Gaza</t>
        </is>
      </c>
      <c r="E2" s="1" t="inlineStr">
        <is>
          <t>Attacks in Catchment</t>
        </is>
      </c>
      <c r="F2" s="1" t="inlineStr">
        <is>
          <t>Total Attacks in Period</t>
        </is>
      </c>
    </row>
    <row r="3">
      <c r="A3" s="5" t="inlineStr">
        <is>
          <t>Al Shifa Medical Hospital</t>
        </is>
      </c>
      <c r="B3" s="6" t="inlineStr">
        <is>
          <t>Open</t>
        </is>
      </c>
      <c r="C3" s="7" t="n">
        <v>47.1011</v>
      </c>
      <c r="D3" s="8">
        <f>C3/364.871</f>
        <v/>
      </c>
      <c r="E3" s="9" t="n">
        <v>292</v>
      </c>
      <c r="F3" s="9" t="n">
        <v>709</v>
      </c>
    </row>
    <row r="4">
      <c r="A4" s="15" t="inlineStr">
        <is>
          <t>Al-Quds Hospital</t>
        </is>
      </c>
      <c r="B4" s="16" t="inlineStr">
        <is>
          <t>Closed</t>
        </is>
      </c>
      <c r="C4" s="17" t="inlineStr">
        <is>
          <t>—</t>
        </is>
      </c>
      <c r="D4" s="17" t="inlineStr">
        <is>
          <t>—</t>
        </is>
      </c>
      <c r="E4" s="17" t="inlineStr">
        <is>
          <t>—</t>
        </is>
      </c>
      <c r="F4" s="17" t="n">
        <v>709</v>
      </c>
    </row>
    <row r="5">
      <c r="A5" s="15" t="inlineStr">
        <is>
          <t>Nasser Hospital</t>
        </is>
      </c>
      <c r="B5" s="16" t="inlineStr">
        <is>
          <t>Closed</t>
        </is>
      </c>
      <c r="C5" s="17" t="inlineStr">
        <is>
          <t>—</t>
        </is>
      </c>
      <c r="D5" s="17" t="inlineStr">
        <is>
          <t>—</t>
        </is>
      </c>
      <c r="E5" s="17" t="inlineStr">
        <is>
          <t>—</t>
        </is>
      </c>
      <c r="F5" s="17" t="n">
        <v>709</v>
      </c>
    </row>
    <row r="6">
      <c r="A6" s="5" t="inlineStr">
        <is>
          <t>European Hospital</t>
        </is>
      </c>
      <c r="B6" s="6" t="inlineStr">
        <is>
          <t>Open</t>
        </is>
      </c>
      <c r="C6" s="7" t="n">
        <v>66.16330000000001</v>
      </c>
      <c r="D6" s="8">
        <f>C6/364.871</f>
        <v/>
      </c>
      <c r="E6" s="9" t="n">
        <v>96</v>
      </c>
      <c r="F6" s="9" t="n">
        <v>709</v>
      </c>
    </row>
    <row r="7">
      <c r="A7" s="5" t="inlineStr">
        <is>
          <t>Kuwait Hospital</t>
        </is>
      </c>
      <c r="B7" s="6" t="inlineStr">
        <is>
          <t>Open</t>
        </is>
      </c>
      <c r="C7" s="7" t="n">
        <v>39.5104</v>
      </c>
      <c r="D7" s="8">
        <f>C7/364.871</f>
        <v/>
      </c>
      <c r="E7" s="9" t="n">
        <v>123</v>
      </c>
      <c r="F7" s="9" t="n">
        <v>709</v>
      </c>
    </row>
    <row r="8">
      <c r="A8" s="5" t="inlineStr">
        <is>
          <t>Al-Aqsa Hospital</t>
        </is>
      </c>
      <c r="B8" s="6" t="inlineStr">
        <is>
          <t>Open</t>
        </is>
      </c>
      <c r="C8" s="7" t="n">
        <v>54.398</v>
      </c>
      <c r="D8" s="8">
        <f>C8/364.871</f>
        <v/>
      </c>
      <c r="E8" s="9" t="n">
        <v>198</v>
      </c>
      <c r="F8" s="9" t="n">
        <v>709</v>
      </c>
    </row>
    <row r="9">
      <c r="A9" s="10" t="inlineStr">
        <is>
          <t>TOTAL</t>
        </is>
      </c>
      <c r="B9" s="11" t="inlineStr">
        <is>
          <t>4 open</t>
        </is>
      </c>
      <c r="C9" s="12">
        <f>C3+C6+C7+C8</f>
        <v/>
      </c>
      <c r="D9" s="13">
        <f>C9/364.871</f>
        <v/>
      </c>
      <c r="E9" s="14">
        <f>E3+E6+E7+E8</f>
        <v/>
      </c>
      <c r="F9" s="14" t="n">
        <v>709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12" customWidth="1" min="4" max="4"/>
    <col width="22" customWidth="1" min="5" max="5"/>
    <col width="24" customWidth="1" min="6" max="6"/>
  </cols>
  <sheetData>
    <row r="1" ht="18" customHeight="1">
      <c r="A1" s="4" t="inlineStr">
        <is>
          <t>Period: 2024-03-18 to 2024-05-02</t>
        </is>
      </c>
    </row>
    <row r="2" ht="16" customHeight="1">
      <c r="A2" s="1" t="inlineStr">
        <is>
          <t>Hospital</t>
        </is>
      </c>
      <c r="B2" s="1" t="inlineStr">
        <is>
          <t>Status</t>
        </is>
      </c>
      <c r="C2" s="1" t="inlineStr">
        <is>
          <t>Catchment Area (km²)</t>
        </is>
      </c>
      <c r="D2" s="1" t="inlineStr">
        <is>
          <t>% of Gaza</t>
        </is>
      </c>
      <c r="E2" s="1" t="inlineStr">
        <is>
          <t>Attacks in Catchment</t>
        </is>
      </c>
      <c r="F2" s="1" t="inlineStr">
        <is>
          <t>Total Attacks in Period</t>
        </is>
      </c>
    </row>
    <row r="3">
      <c r="A3" s="15" t="inlineStr">
        <is>
          <t>Al Shifa Medical Hospital</t>
        </is>
      </c>
      <c r="B3" s="16" t="inlineStr">
        <is>
          <t>Closed</t>
        </is>
      </c>
      <c r="C3" s="17" t="inlineStr">
        <is>
          <t>—</t>
        </is>
      </c>
      <c r="D3" s="17" t="inlineStr">
        <is>
          <t>—</t>
        </is>
      </c>
      <c r="E3" s="17" t="inlineStr">
        <is>
          <t>—</t>
        </is>
      </c>
      <c r="F3" s="17" t="n">
        <v>595</v>
      </c>
    </row>
    <row r="4">
      <c r="A4" s="15" t="inlineStr">
        <is>
          <t>Al-Quds Hospital</t>
        </is>
      </c>
      <c r="B4" s="16" t="inlineStr">
        <is>
          <t>Closed</t>
        </is>
      </c>
      <c r="C4" s="17" t="inlineStr">
        <is>
          <t>—</t>
        </is>
      </c>
      <c r="D4" s="17" t="inlineStr">
        <is>
          <t>—</t>
        </is>
      </c>
      <c r="E4" s="17" t="inlineStr">
        <is>
          <t>—</t>
        </is>
      </c>
      <c r="F4" s="17" t="n">
        <v>595</v>
      </c>
    </row>
    <row r="5">
      <c r="A5" s="15" t="inlineStr">
        <is>
          <t>Nasser Hospital</t>
        </is>
      </c>
      <c r="B5" s="16" t="inlineStr">
        <is>
          <t>Closed</t>
        </is>
      </c>
      <c r="C5" s="17" t="inlineStr">
        <is>
          <t>—</t>
        </is>
      </c>
      <c r="D5" s="17" t="inlineStr">
        <is>
          <t>—</t>
        </is>
      </c>
      <c r="E5" s="17" t="inlineStr">
        <is>
          <t>—</t>
        </is>
      </c>
      <c r="F5" s="17" t="n">
        <v>595</v>
      </c>
    </row>
    <row r="6">
      <c r="A6" s="5" t="inlineStr">
        <is>
          <t>European Hospital</t>
        </is>
      </c>
      <c r="B6" s="6" t="inlineStr">
        <is>
          <t>Open</t>
        </is>
      </c>
      <c r="C6" s="7" t="n">
        <v>66.15860000000001</v>
      </c>
      <c r="D6" s="8">
        <f>C6/364.871</f>
        <v/>
      </c>
      <c r="E6" s="9" t="n">
        <v>148</v>
      </c>
      <c r="F6" s="9" t="n">
        <v>595</v>
      </c>
    </row>
    <row r="7">
      <c r="A7" s="5" t="inlineStr">
        <is>
          <t>Kuwait Hospital</t>
        </is>
      </c>
      <c r="B7" s="6" t="inlineStr">
        <is>
          <t>Open</t>
        </is>
      </c>
      <c r="C7" s="7" t="n">
        <v>39.5151</v>
      </c>
      <c r="D7" s="8">
        <f>C7/364.871</f>
        <v/>
      </c>
      <c r="E7" s="9" t="n">
        <v>156</v>
      </c>
      <c r="F7" s="9" t="n">
        <v>595</v>
      </c>
    </row>
    <row r="8">
      <c r="A8" s="5" t="inlineStr">
        <is>
          <t>Al-Aqsa Hospital</t>
        </is>
      </c>
      <c r="B8" s="6" t="inlineStr">
        <is>
          <t>Open</t>
        </is>
      </c>
      <c r="C8" s="7" t="n">
        <v>54.398</v>
      </c>
      <c r="D8" s="8">
        <f>C8/364.871</f>
        <v/>
      </c>
      <c r="E8" s="9" t="n">
        <v>291</v>
      </c>
      <c r="F8" s="9" t="n">
        <v>595</v>
      </c>
    </row>
    <row r="9">
      <c r="A9" s="10" t="inlineStr">
        <is>
          <t>TOTAL</t>
        </is>
      </c>
      <c r="B9" s="11" t="inlineStr">
        <is>
          <t>3 open</t>
        </is>
      </c>
      <c r="C9" s="12">
        <f>C6+C7+C8</f>
        <v/>
      </c>
      <c r="D9" s="13">
        <f>C9/364.871</f>
        <v/>
      </c>
      <c r="E9" s="14">
        <f>E6+E7+E8</f>
        <v/>
      </c>
      <c r="F9" s="14" t="n">
        <v>595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12" customWidth="1" min="4" max="4"/>
    <col width="22" customWidth="1" min="5" max="5"/>
    <col width="24" customWidth="1" min="6" max="6"/>
  </cols>
  <sheetData>
    <row r="1" ht="18" customHeight="1">
      <c r="A1" s="4" t="inlineStr">
        <is>
          <t>Period: 2024-05-03 to 2024-06-30</t>
        </is>
      </c>
    </row>
    <row r="2" ht="16" customHeight="1">
      <c r="A2" s="1" t="inlineStr">
        <is>
          <t>Hospital</t>
        </is>
      </c>
      <c r="B2" s="1" t="inlineStr">
        <is>
          <t>Status</t>
        </is>
      </c>
      <c r="C2" s="1" t="inlineStr">
        <is>
          <t>Catchment Area (km²)</t>
        </is>
      </c>
      <c r="D2" s="1" t="inlineStr">
        <is>
          <t>% of Gaza</t>
        </is>
      </c>
      <c r="E2" s="1" t="inlineStr">
        <is>
          <t>Attacks in Catchment</t>
        </is>
      </c>
      <c r="F2" s="1" t="inlineStr">
        <is>
          <t>Total Attacks in Period</t>
        </is>
      </c>
    </row>
    <row r="3">
      <c r="A3" s="15" t="inlineStr">
        <is>
          <t>Al Shifa Medical Hospital</t>
        </is>
      </c>
      <c r="B3" s="16" t="inlineStr">
        <is>
          <t>Closed</t>
        </is>
      </c>
      <c r="C3" s="17" t="inlineStr">
        <is>
          <t>—</t>
        </is>
      </c>
      <c r="D3" s="17" t="inlineStr">
        <is>
          <t>—</t>
        </is>
      </c>
      <c r="E3" s="17" t="inlineStr">
        <is>
          <t>—</t>
        </is>
      </c>
      <c r="F3" s="17" t="n">
        <v>1098</v>
      </c>
    </row>
    <row r="4">
      <c r="A4" s="15" t="inlineStr">
        <is>
          <t>Al-Quds Hospital</t>
        </is>
      </c>
      <c r="B4" s="16" t="inlineStr">
        <is>
          <t>Closed</t>
        </is>
      </c>
      <c r="C4" s="17" t="inlineStr">
        <is>
          <t>—</t>
        </is>
      </c>
      <c r="D4" s="17" t="inlineStr">
        <is>
          <t>—</t>
        </is>
      </c>
      <c r="E4" s="17" t="inlineStr">
        <is>
          <t>—</t>
        </is>
      </c>
      <c r="F4" s="17" t="n">
        <v>1098</v>
      </c>
    </row>
    <row r="5">
      <c r="A5" s="5" t="inlineStr">
        <is>
          <t>Nasser Hospital</t>
        </is>
      </c>
      <c r="B5" s="6" t="inlineStr">
        <is>
          <t>Open</t>
        </is>
      </c>
      <c r="C5" s="7" t="n">
        <v>51.4263</v>
      </c>
      <c r="D5" s="8">
        <f>C5/364.871</f>
        <v/>
      </c>
      <c r="E5" s="9" t="n">
        <v>108</v>
      </c>
      <c r="F5" s="9" t="n">
        <v>1098</v>
      </c>
    </row>
    <row r="6">
      <c r="A6" s="5" t="inlineStr">
        <is>
          <t>European Hospital</t>
        </is>
      </c>
      <c r="B6" s="6" t="inlineStr">
        <is>
          <t>Open</t>
        </is>
      </c>
      <c r="C6" s="7" t="n">
        <v>54.1932</v>
      </c>
      <c r="D6" s="8">
        <f>C6/364.871</f>
        <v/>
      </c>
      <c r="E6" s="9" t="n">
        <v>46</v>
      </c>
      <c r="F6" s="9" t="n">
        <v>1098</v>
      </c>
    </row>
    <row r="7">
      <c r="A7" s="5" t="inlineStr">
        <is>
          <t>Kuwait Hospital</t>
        </is>
      </c>
      <c r="B7" s="6" t="inlineStr">
        <is>
          <t>Open</t>
        </is>
      </c>
      <c r="C7" s="7" t="n">
        <v>36.5592</v>
      </c>
      <c r="D7" s="8">
        <f>C7/364.871</f>
        <v/>
      </c>
      <c r="E7" s="9" t="n">
        <v>617</v>
      </c>
      <c r="F7" s="9" t="n">
        <v>1098</v>
      </c>
    </row>
    <row r="8">
      <c r="A8" s="5" t="inlineStr">
        <is>
          <t>Al-Aqsa Hospital</t>
        </is>
      </c>
      <c r="B8" s="6" t="inlineStr">
        <is>
          <t>Open</t>
        </is>
      </c>
      <c r="C8" s="7" t="n">
        <v>54.398</v>
      </c>
      <c r="D8" s="8">
        <f>C8/364.871</f>
        <v/>
      </c>
      <c r="E8" s="9" t="n">
        <v>327</v>
      </c>
      <c r="F8" s="9" t="n">
        <v>1098</v>
      </c>
    </row>
    <row r="9">
      <c r="A9" s="10" t="inlineStr">
        <is>
          <t>TOTAL</t>
        </is>
      </c>
      <c r="B9" s="11" t="inlineStr">
        <is>
          <t>4 open</t>
        </is>
      </c>
      <c r="C9" s="12">
        <f>C5+C6+C7+C8</f>
        <v/>
      </c>
      <c r="D9" s="13">
        <f>C9/364.871</f>
        <v/>
      </c>
      <c r="E9" s="14">
        <f>E5+E6+E7+E8</f>
        <v/>
      </c>
      <c r="F9" s="14" t="n">
        <v>1098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12" customWidth="1" min="4" max="4"/>
    <col width="22" customWidth="1" min="5" max="5"/>
    <col width="24" customWidth="1" min="6" max="6"/>
  </cols>
  <sheetData>
    <row r="1" ht="18" customHeight="1">
      <c r="A1" s="4" t="inlineStr">
        <is>
          <t>Period: 2024-07-01 to 2024-07-31</t>
        </is>
      </c>
    </row>
    <row r="2" ht="16" customHeight="1">
      <c r="A2" s="1" t="inlineStr">
        <is>
          <t>Hospital</t>
        </is>
      </c>
      <c r="B2" s="1" t="inlineStr">
        <is>
          <t>Status</t>
        </is>
      </c>
      <c r="C2" s="1" t="inlineStr">
        <is>
          <t>Catchment Area (km²)</t>
        </is>
      </c>
      <c r="D2" s="1" t="inlineStr">
        <is>
          <t>% of Gaza</t>
        </is>
      </c>
      <c r="E2" s="1" t="inlineStr">
        <is>
          <t>Attacks in Catchment</t>
        </is>
      </c>
      <c r="F2" s="1" t="inlineStr">
        <is>
          <t>Total Attacks in Period</t>
        </is>
      </c>
    </row>
    <row r="3">
      <c r="A3" s="15" t="inlineStr">
        <is>
          <t>Al Shifa Medical Hospital</t>
        </is>
      </c>
      <c r="B3" s="16" t="inlineStr">
        <is>
          <t>Closed</t>
        </is>
      </c>
      <c r="C3" s="17" t="inlineStr">
        <is>
          <t>—</t>
        </is>
      </c>
      <c r="D3" s="17" t="inlineStr">
        <is>
          <t>—</t>
        </is>
      </c>
      <c r="E3" s="17" t="inlineStr">
        <is>
          <t>—</t>
        </is>
      </c>
      <c r="F3" s="17" t="n">
        <v>547</v>
      </c>
    </row>
    <row r="4">
      <c r="A4" s="15" t="inlineStr">
        <is>
          <t>Al-Quds Hospital</t>
        </is>
      </c>
      <c r="B4" s="16" t="inlineStr">
        <is>
          <t>Closed</t>
        </is>
      </c>
      <c r="C4" s="17" t="inlineStr">
        <is>
          <t>—</t>
        </is>
      </c>
      <c r="D4" s="17" t="inlineStr">
        <is>
          <t>—</t>
        </is>
      </c>
      <c r="E4" s="17" t="inlineStr">
        <is>
          <t>—</t>
        </is>
      </c>
      <c r="F4" s="17" t="n">
        <v>547</v>
      </c>
    </row>
    <row r="5">
      <c r="A5" s="5" t="inlineStr">
        <is>
          <t>Nasser Hospital</t>
        </is>
      </c>
      <c r="B5" s="6" t="inlineStr">
        <is>
          <t>Open</t>
        </is>
      </c>
      <c r="C5" s="7" t="n">
        <v>62.8783</v>
      </c>
      <c r="D5" s="8">
        <f>C5/364.871</f>
        <v/>
      </c>
      <c r="E5" s="9" t="n">
        <v>152</v>
      </c>
      <c r="F5" s="9" t="n">
        <v>547</v>
      </c>
    </row>
    <row r="6">
      <c r="A6" s="15" t="inlineStr">
        <is>
          <t>European Hospital</t>
        </is>
      </c>
      <c r="B6" s="16" t="inlineStr">
        <is>
          <t>Closed</t>
        </is>
      </c>
      <c r="C6" s="17" t="inlineStr">
        <is>
          <t>—</t>
        </is>
      </c>
      <c r="D6" s="17" t="inlineStr">
        <is>
          <t>—</t>
        </is>
      </c>
      <c r="E6" s="17" t="inlineStr">
        <is>
          <t>—</t>
        </is>
      </c>
      <c r="F6" s="17" t="n">
        <v>547</v>
      </c>
    </row>
    <row r="7">
      <c r="A7" s="5" t="inlineStr">
        <is>
          <t>Kuwait Hospital</t>
        </is>
      </c>
      <c r="B7" s="6" t="inlineStr">
        <is>
          <t>Open</t>
        </is>
      </c>
      <c r="C7" s="7" t="n">
        <v>42.221</v>
      </c>
      <c r="D7" s="8">
        <f>C7/364.871</f>
        <v/>
      </c>
      <c r="E7" s="9" t="n">
        <v>223</v>
      </c>
      <c r="F7" s="9" t="n">
        <v>547</v>
      </c>
    </row>
    <row r="8">
      <c r="A8" s="5" t="inlineStr">
        <is>
          <t>Al-Aqsa Hospital</t>
        </is>
      </c>
      <c r="B8" s="6" t="inlineStr">
        <is>
          <t>Open</t>
        </is>
      </c>
      <c r="C8" s="7" t="n">
        <v>54.398</v>
      </c>
      <c r="D8" s="8">
        <f>C8/364.871</f>
        <v/>
      </c>
      <c r="E8" s="9" t="n">
        <v>172</v>
      </c>
      <c r="F8" s="9" t="n">
        <v>547</v>
      </c>
    </row>
    <row r="9">
      <c r="A9" s="10" t="inlineStr">
        <is>
          <t>TOTAL</t>
        </is>
      </c>
      <c r="B9" s="11" t="inlineStr">
        <is>
          <t>3 open</t>
        </is>
      </c>
      <c r="C9" s="12">
        <f>C5+C7+C8</f>
        <v/>
      </c>
      <c r="D9" s="13">
        <f>C9/364.871</f>
        <v/>
      </c>
      <c r="E9" s="14">
        <f>E5+E7+E8</f>
        <v/>
      </c>
      <c r="F9" s="14" t="n">
        <v>547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12" customWidth="1" min="4" max="4"/>
    <col width="22" customWidth="1" min="5" max="5"/>
    <col width="24" customWidth="1" min="6" max="6"/>
  </cols>
  <sheetData>
    <row r="1" ht="18" customHeight="1">
      <c r="A1" s="4" t="inlineStr">
        <is>
          <t>Period: 2024-08-01 to 2024-08-24</t>
        </is>
      </c>
    </row>
    <row r="2" ht="16" customHeight="1">
      <c r="A2" s="1" t="inlineStr">
        <is>
          <t>Hospital</t>
        </is>
      </c>
      <c r="B2" s="1" t="inlineStr">
        <is>
          <t>Status</t>
        </is>
      </c>
      <c r="C2" s="1" t="inlineStr">
        <is>
          <t>Catchment Area (km²)</t>
        </is>
      </c>
      <c r="D2" s="1" t="inlineStr">
        <is>
          <t>% of Gaza</t>
        </is>
      </c>
      <c r="E2" s="1" t="inlineStr">
        <is>
          <t>Attacks in Catchment</t>
        </is>
      </c>
      <c r="F2" s="1" t="inlineStr">
        <is>
          <t>Total Attacks in Period</t>
        </is>
      </c>
    </row>
    <row r="3">
      <c r="A3" s="15" t="inlineStr">
        <is>
          <t>Al Shifa Medical Hospital</t>
        </is>
      </c>
      <c r="B3" s="16" t="inlineStr">
        <is>
          <t>Closed</t>
        </is>
      </c>
      <c r="C3" s="17" t="inlineStr">
        <is>
          <t>—</t>
        </is>
      </c>
      <c r="D3" s="17" t="inlineStr">
        <is>
          <t>—</t>
        </is>
      </c>
      <c r="E3" s="17" t="inlineStr">
        <is>
          <t>—</t>
        </is>
      </c>
      <c r="F3" s="17" t="n">
        <v>333</v>
      </c>
    </row>
    <row r="4">
      <c r="A4" s="15" t="inlineStr">
        <is>
          <t>Al-Quds Hospital</t>
        </is>
      </c>
      <c r="B4" s="16" t="inlineStr">
        <is>
          <t>Closed</t>
        </is>
      </c>
      <c r="C4" s="17" t="inlineStr">
        <is>
          <t>—</t>
        </is>
      </c>
      <c r="D4" s="17" t="inlineStr">
        <is>
          <t>—</t>
        </is>
      </c>
      <c r="E4" s="17" t="inlineStr">
        <is>
          <t>—</t>
        </is>
      </c>
      <c r="F4" s="17" t="n">
        <v>333</v>
      </c>
    </row>
    <row r="5">
      <c r="A5" s="5" t="inlineStr">
        <is>
          <t>Nasser Hospital</t>
        </is>
      </c>
      <c r="B5" s="6" t="inlineStr">
        <is>
          <t>Open</t>
        </is>
      </c>
      <c r="C5" s="7" t="n">
        <v>62.8783</v>
      </c>
      <c r="D5" s="8">
        <f>C5/364.871</f>
        <v/>
      </c>
      <c r="E5" s="9" t="n">
        <v>181</v>
      </c>
      <c r="F5" s="9" t="n">
        <v>333</v>
      </c>
    </row>
    <row r="6">
      <c r="A6" s="15" t="inlineStr">
        <is>
          <t>European Hospital</t>
        </is>
      </c>
      <c r="B6" s="16" t="inlineStr">
        <is>
          <t>Closed</t>
        </is>
      </c>
      <c r="C6" s="17" t="inlineStr">
        <is>
          <t>—</t>
        </is>
      </c>
      <c r="D6" s="17" t="inlineStr">
        <is>
          <t>—</t>
        </is>
      </c>
      <c r="E6" s="17" t="inlineStr">
        <is>
          <t>—</t>
        </is>
      </c>
      <c r="F6" s="17" t="n">
        <v>333</v>
      </c>
    </row>
    <row r="7">
      <c r="A7" s="5" t="inlineStr">
        <is>
          <t>Kuwait Hospital</t>
        </is>
      </c>
      <c r="B7" s="6" t="inlineStr">
        <is>
          <t>Open</t>
        </is>
      </c>
      <c r="C7" s="7" t="n">
        <v>42.221</v>
      </c>
      <c r="D7" s="8">
        <f>C7/364.871</f>
        <v/>
      </c>
      <c r="E7" s="9" t="n">
        <v>152</v>
      </c>
      <c r="F7" s="9" t="n">
        <v>333</v>
      </c>
    </row>
    <row r="8">
      <c r="A8" s="15" t="inlineStr">
        <is>
          <t>Al-Aqsa Hospital</t>
        </is>
      </c>
      <c r="B8" s="16" t="inlineStr">
        <is>
          <t>Closed</t>
        </is>
      </c>
      <c r="C8" s="17" t="inlineStr">
        <is>
          <t>—</t>
        </is>
      </c>
      <c r="D8" s="17" t="inlineStr">
        <is>
          <t>—</t>
        </is>
      </c>
      <c r="E8" s="17" t="inlineStr">
        <is>
          <t>—</t>
        </is>
      </c>
      <c r="F8" s="17" t="n">
        <v>333</v>
      </c>
    </row>
    <row r="9">
      <c r="A9" s="10" t="inlineStr">
        <is>
          <t>TOTAL</t>
        </is>
      </c>
      <c r="B9" s="11" t="inlineStr">
        <is>
          <t>2 open</t>
        </is>
      </c>
      <c r="C9" s="12">
        <f>C5+C7</f>
        <v/>
      </c>
      <c r="D9" s="13">
        <f>C9/364.871</f>
        <v/>
      </c>
      <c r="E9" s="14">
        <f>E5+E7</f>
        <v/>
      </c>
      <c r="F9" s="14" t="n">
        <v>333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12" customWidth="1" min="4" max="4"/>
    <col width="22" customWidth="1" min="5" max="5"/>
    <col width="24" customWidth="1" min="6" max="6"/>
  </cols>
  <sheetData>
    <row r="1" ht="18" customHeight="1">
      <c r="A1" s="4" t="inlineStr">
        <is>
          <t>Period: 2024-08-25 to 2024-08-31</t>
        </is>
      </c>
    </row>
    <row r="2" ht="16" customHeight="1">
      <c r="A2" s="1" t="inlineStr">
        <is>
          <t>Hospital</t>
        </is>
      </c>
      <c r="B2" s="1" t="inlineStr">
        <is>
          <t>Status</t>
        </is>
      </c>
      <c r="C2" s="1" t="inlineStr">
        <is>
          <t>Catchment Area (km²)</t>
        </is>
      </c>
      <c r="D2" s="1" t="inlineStr">
        <is>
          <t>% of Gaza</t>
        </is>
      </c>
      <c r="E2" s="1" t="inlineStr">
        <is>
          <t>Attacks in Catchment</t>
        </is>
      </c>
      <c r="F2" s="1" t="inlineStr">
        <is>
          <t>Total Attacks in Period</t>
        </is>
      </c>
    </row>
    <row r="3">
      <c r="A3" s="15" t="inlineStr">
        <is>
          <t>Al Shifa Medical Hospital</t>
        </is>
      </c>
      <c r="B3" s="16" t="inlineStr">
        <is>
          <t>Closed</t>
        </is>
      </c>
      <c r="C3" s="17" t="inlineStr">
        <is>
          <t>—</t>
        </is>
      </c>
      <c r="D3" s="17" t="inlineStr">
        <is>
          <t>—</t>
        </is>
      </c>
      <c r="E3" s="17" t="inlineStr">
        <is>
          <t>—</t>
        </is>
      </c>
      <c r="F3" s="17" t="n">
        <v>106</v>
      </c>
    </row>
    <row r="4">
      <c r="A4" s="15" t="inlineStr">
        <is>
          <t>Al-Quds Hospital</t>
        </is>
      </c>
      <c r="B4" s="16" t="inlineStr">
        <is>
          <t>Closed</t>
        </is>
      </c>
      <c r="C4" s="17" t="inlineStr">
        <is>
          <t>—</t>
        </is>
      </c>
      <c r="D4" s="17" t="inlineStr">
        <is>
          <t>—</t>
        </is>
      </c>
      <c r="E4" s="17" t="inlineStr">
        <is>
          <t>—</t>
        </is>
      </c>
      <c r="F4" s="17" t="n">
        <v>106</v>
      </c>
    </row>
    <row r="5">
      <c r="A5" s="5" t="inlineStr">
        <is>
          <t>Nasser Hospital</t>
        </is>
      </c>
      <c r="B5" s="6" t="inlineStr">
        <is>
          <t>Open</t>
        </is>
      </c>
      <c r="C5" s="7" t="n">
        <v>51.4596</v>
      </c>
      <c r="D5" s="8">
        <f>C5/364.871</f>
        <v/>
      </c>
      <c r="E5" s="9" t="n">
        <v>54</v>
      </c>
      <c r="F5" s="9" t="n">
        <v>106</v>
      </c>
    </row>
    <row r="6">
      <c r="A6" s="5" t="inlineStr">
        <is>
          <t>European Hospital</t>
        </is>
      </c>
      <c r="B6" s="6" t="inlineStr">
        <is>
          <t>Open</t>
        </is>
      </c>
      <c r="C6" s="7" t="n">
        <v>54.1598</v>
      </c>
      <c r="D6" s="8">
        <f>C6/364.871</f>
        <v/>
      </c>
      <c r="E6" s="9" t="n">
        <v>14</v>
      </c>
      <c r="F6" s="9" t="n">
        <v>106</v>
      </c>
    </row>
    <row r="7">
      <c r="A7" s="5" t="inlineStr">
        <is>
          <t>Kuwait Hospital</t>
        </is>
      </c>
      <c r="B7" s="6" t="inlineStr">
        <is>
          <t>Open</t>
        </is>
      </c>
      <c r="C7" s="7" t="n">
        <v>36.5592</v>
      </c>
      <c r="D7" s="8">
        <f>C7/364.871</f>
        <v/>
      </c>
      <c r="E7" s="9" t="n">
        <v>38</v>
      </c>
      <c r="F7" s="9" t="n">
        <v>106</v>
      </c>
    </row>
    <row r="8">
      <c r="A8" s="15" t="inlineStr">
        <is>
          <t>Al-Aqsa Hospital</t>
        </is>
      </c>
      <c r="B8" s="16" t="inlineStr">
        <is>
          <t>Closed</t>
        </is>
      </c>
      <c r="C8" s="17" t="inlineStr">
        <is>
          <t>—</t>
        </is>
      </c>
      <c r="D8" s="17" t="inlineStr">
        <is>
          <t>—</t>
        </is>
      </c>
      <c r="E8" s="17" t="inlineStr">
        <is>
          <t>—</t>
        </is>
      </c>
      <c r="F8" s="17" t="n">
        <v>106</v>
      </c>
    </row>
    <row r="9">
      <c r="A9" s="10" t="inlineStr">
        <is>
          <t>TOTAL</t>
        </is>
      </c>
      <c r="B9" s="11" t="inlineStr">
        <is>
          <t>3 open</t>
        </is>
      </c>
      <c r="C9" s="12">
        <f>C5+C6+C7</f>
        <v/>
      </c>
      <c r="D9" s="13">
        <f>C9/364.871</f>
        <v/>
      </c>
      <c r="E9" s="14">
        <f>E5+E6+E7</f>
        <v/>
      </c>
      <c r="F9" s="14" t="n">
        <v>106</v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12" customWidth="1" min="4" max="4"/>
    <col width="22" customWidth="1" min="5" max="5"/>
    <col width="24" customWidth="1" min="6" max="6"/>
  </cols>
  <sheetData>
    <row r="1" ht="18" customHeight="1">
      <c r="A1" s="4" t="inlineStr">
        <is>
          <t>Period: 2024-09-01 to 2025-03-18</t>
        </is>
      </c>
    </row>
    <row r="2" ht="16" customHeight="1">
      <c r="A2" s="1" t="inlineStr">
        <is>
          <t>Hospital</t>
        </is>
      </c>
      <c r="B2" s="1" t="inlineStr">
        <is>
          <t>Status</t>
        </is>
      </c>
      <c r="C2" s="1" t="inlineStr">
        <is>
          <t>Catchment Area (km²)</t>
        </is>
      </c>
      <c r="D2" s="1" t="inlineStr">
        <is>
          <t>% of Gaza</t>
        </is>
      </c>
      <c r="E2" s="1" t="inlineStr">
        <is>
          <t>Attacks in Catchment</t>
        </is>
      </c>
      <c r="F2" s="1" t="inlineStr">
        <is>
          <t>Total Attacks in Period</t>
        </is>
      </c>
    </row>
    <row r="3">
      <c r="A3" s="5" t="inlineStr">
        <is>
          <t>Al Shifa Medical Hospital</t>
        </is>
      </c>
      <c r="B3" s="6" t="inlineStr">
        <is>
          <t>Open</t>
        </is>
      </c>
      <c r="C3" s="7" t="n">
        <v>47.1011</v>
      </c>
      <c r="D3" s="8">
        <f>C3/364.871</f>
        <v/>
      </c>
      <c r="E3" s="9" t="n">
        <v>1608</v>
      </c>
      <c r="F3" s="9" t="n">
        <v>2983</v>
      </c>
    </row>
    <row r="4">
      <c r="A4" s="15" t="inlineStr">
        <is>
          <t>Al-Quds Hospital</t>
        </is>
      </c>
      <c r="B4" s="16" t="inlineStr">
        <is>
          <t>Closed</t>
        </is>
      </c>
      <c r="C4" s="17" t="inlineStr">
        <is>
          <t>—</t>
        </is>
      </c>
      <c r="D4" s="17" t="inlineStr">
        <is>
          <t>—</t>
        </is>
      </c>
      <c r="E4" s="17" t="inlineStr">
        <is>
          <t>—</t>
        </is>
      </c>
      <c r="F4" s="17" t="n">
        <v>2983</v>
      </c>
    </row>
    <row r="5">
      <c r="A5" s="5" t="inlineStr">
        <is>
          <t>Nasser Hospital</t>
        </is>
      </c>
      <c r="B5" s="6" t="inlineStr">
        <is>
          <t>Open</t>
        </is>
      </c>
      <c r="C5" s="7" t="n">
        <v>51.4294</v>
      </c>
      <c r="D5" s="8">
        <f>C5/364.871</f>
        <v/>
      </c>
      <c r="E5" s="9" t="n">
        <v>357</v>
      </c>
      <c r="F5" s="9" t="n">
        <v>2983</v>
      </c>
    </row>
    <row r="6">
      <c r="A6" s="5" t="inlineStr">
        <is>
          <t>European Hospital</t>
        </is>
      </c>
      <c r="B6" s="6" t="inlineStr">
        <is>
          <t>Open</t>
        </is>
      </c>
      <c r="C6" s="7" t="n">
        <v>54.1924</v>
      </c>
      <c r="D6" s="8">
        <f>C6/364.871</f>
        <v/>
      </c>
      <c r="E6" s="9" t="n">
        <v>229</v>
      </c>
      <c r="F6" s="9" t="n">
        <v>2983</v>
      </c>
    </row>
    <row r="7">
      <c r="A7" s="5" t="inlineStr">
        <is>
          <t>Kuwait Hospital</t>
        </is>
      </c>
      <c r="B7" s="6" t="inlineStr">
        <is>
          <t>Open</t>
        </is>
      </c>
      <c r="C7" s="7" t="n">
        <v>36.557</v>
      </c>
      <c r="D7" s="8">
        <f>C7/364.871</f>
        <v/>
      </c>
      <c r="E7" s="9" t="n">
        <v>789</v>
      </c>
      <c r="F7" s="9" t="n">
        <v>2983</v>
      </c>
    </row>
    <row r="8">
      <c r="A8" s="15" t="inlineStr">
        <is>
          <t>Al-Aqsa Hospital</t>
        </is>
      </c>
      <c r="B8" s="16" t="inlineStr">
        <is>
          <t>Closed</t>
        </is>
      </c>
      <c r="C8" s="17" t="inlineStr">
        <is>
          <t>—</t>
        </is>
      </c>
      <c r="D8" s="17" t="inlineStr">
        <is>
          <t>—</t>
        </is>
      </c>
      <c r="E8" s="17" t="inlineStr">
        <is>
          <t>—</t>
        </is>
      </c>
      <c r="F8" s="17" t="n">
        <v>2983</v>
      </c>
    </row>
    <row r="9">
      <c r="A9" s="10" t="inlineStr">
        <is>
          <t>TOTAL</t>
        </is>
      </c>
      <c r="B9" s="11" t="inlineStr">
        <is>
          <t>4 open</t>
        </is>
      </c>
      <c r="C9" s="12">
        <f>C3+C5+C6+C7</f>
        <v/>
      </c>
      <c r="D9" s="13">
        <f>C9/364.871</f>
        <v/>
      </c>
      <c r="E9" s="14">
        <f>E3+E5+E6+E7</f>
        <v/>
      </c>
      <c r="F9" s="14" t="n">
        <v>2983</v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12" customWidth="1" min="4" max="4"/>
    <col width="22" customWidth="1" min="5" max="5"/>
    <col width="24" customWidth="1" min="6" max="6"/>
  </cols>
  <sheetData>
    <row r="1" ht="18" customHeight="1">
      <c r="A1" s="4" t="inlineStr">
        <is>
          <t>Period: 2025-03-19 to 2025-05-12</t>
        </is>
      </c>
    </row>
    <row r="2" ht="16" customHeight="1">
      <c r="A2" s="1" t="inlineStr">
        <is>
          <t>Hospital</t>
        </is>
      </c>
      <c r="B2" s="1" t="inlineStr">
        <is>
          <t>Status</t>
        </is>
      </c>
      <c r="C2" s="1" t="inlineStr">
        <is>
          <t>Catchment Area (km²)</t>
        </is>
      </c>
      <c r="D2" s="1" t="inlineStr">
        <is>
          <t>% of Gaza</t>
        </is>
      </c>
      <c r="E2" s="1" t="inlineStr">
        <is>
          <t>Attacks in Catchment</t>
        </is>
      </c>
      <c r="F2" s="1" t="inlineStr">
        <is>
          <t>Total Attacks in Period</t>
        </is>
      </c>
    </row>
    <row r="3">
      <c r="A3" s="5" t="inlineStr">
        <is>
          <t>Al Shifa Medical Hospital</t>
        </is>
      </c>
      <c r="B3" s="6" t="inlineStr">
        <is>
          <t>Open</t>
        </is>
      </c>
      <c r="C3" s="7" t="n">
        <v>29.3587</v>
      </c>
      <c r="D3" s="8">
        <f>C3/364.871</f>
        <v/>
      </c>
      <c r="E3" s="9" t="n">
        <v>393</v>
      </c>
      <c r="F3" s="9" t="n">
        <v>1230</v>
      </c>
    </row>
    <row r="4">
      <c r="A4" s="5" t="inlineStr">
        <is>
          <t>Al-Quds Hospital</t>
        </is>
      </c>
      <c r="B4" s="6" t="inlineStr">
        <is>
          <t>Open</t>
        </is>
      </c>
      <c r="C4" s="7" t="n">
        <v>33.0543</v>
      </c>
      <c r="D4" s="8">
        <f>C4/364.871</f>
        <v/>
      </c>
      <c r="E4" s="9" t="n">
        <v>100</v>
      </c>
      <c r="F4" s="9" t="n">
        <v>1230</v>
      </c>
    </row>
    <row r="5">
      <c r="A5" s="5" t="inlineStr">
        <is>
          <t>Nasser Hospital</t>
        </is>
      </c>
      <c r="B5" s="6" t="inlineStr">
        <is>
          <t>Open</t>
        </is>
      </c>
      <c r="C5" s="7" t="n">
        <v>51.4291</v>
      </c>
      <c r="D5" s="8">
        <f>C5/364.871</f>
        <v/>
      </c>
      <c r="E5" s="9" t="n">
        <v>302</v>
      </c>
      <c r="F5" s="9" t="n">
        <v>1230</v>
      </c>
    </row>
    <row r="6">
      <c r="A6" s="5" t="inlineStr">
        <is>
          <t>European Hospital</t>
        </is>
      </c>
      <c r="B6" s="6" t="inlineStr">
        <is>
          <t>Open</t>
        </is>
      </c>
      <c r="C6" s="7" t="n">
        <v>54.1927</v>
      </c>
      <c r="D6" s="8">
        <f>C6/364.871</f>
        <v/>
      </c>
      <c r="E6" s="9" t="n">
        <v>179</v>
      </c>
      <c r="F6" s="9" t="n">
        <v>1230</v>
      </c>
    </row>
    <row r="7">
      <c r="A7" s="5" t="inlineStr">
        <is>
          <t>Kuwait Hospital</t>
        </is>
      </c>
      <c r="B7" s="6" t="inlineStr">
        <is>
          <t>Open</t>
        </is>
      </c>
      <c r="C7" s="7" t="n">
        <v>36.557</v>
      </c>
      <c r="D7" s="8">
        <f>C7/364.871</f>
        <v/>
      </c>
      <c r="E7" s="9" t="n">
        <v>256</v>
      </c>
      <c r="F7" s="9" t="n">
        <v>1230</v>
      </c>
    </row>
    <row r="8">
      <c r="A8" s="15" t="inlineStr">
        <is>
          <t>Al-Aqsa Hospital</t>
        </is>
      </c>
      <c r="B8" s="16" t="inlineStr">
        <is>
          <t>Closed</t>
        </is>
      </c>
      <c r="C8" s="17" t="inlineStr">
        <is>
          <t>—</t>
        </is>
      </c>
      <c r="D8" s="17" t="inlineStr">
        <is>
          <t>—</t>
        </is>
      </c>
      <c r="E8" s="17" t="inlineStr">
        <is>
          <t>—</t>
        </is>
      </c>
      <c r="F8" s="17" t="n">
        <v>1230</v>
      </c>
    </row>
    <row r="9">
      <c r="A9" s="10" t="inlineStr">
        <is>
          <t>TOTAL</t>
        </is>
      </c>
      <c r="B9" s="11" t="inlineStr">
        <is>
          <t>5 open</t>
        </is>
      </c>
      <c r="C9" s="12">
        <f>C3+C4+C5+C6+C7</f>
        <v/>
      </c>
      <c r="D9" s="13">
        <f>C9/364.871</f>
        <v/>
      </c>
      <c r="E9" s="14">
        <f>E3+E4+E5+E6+E7</f>
        <v/>
      </c>
      <c r="F9" s="14" t="n">
        <v>1230</v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12" customWidth="1" min="4" max="4"/>
    <col width="22" customWidth="1" min="5" max="5"/>
    <col width="24" customWidth="1" min="6" max="6"/>
  </cols>
  <sheetData>
    <row r="1" ht="18" customHeight="1">
      <c r="A1" s="4" t="inlineStr">
        <is>
          <t>Period: 2025-05-13 to 2026-05-13</t>
        </is>
      </c>
    </row>
    <row r="2" ht="16" customHeight="1">
      <c r="A2" s="1" t="inlineStr">
        <is>
          <t>Hospital</t>
        </is>
      </c>
      <c r="B2" s="1" t="inlineStr">
        <is>
          <t>Status</t>
        </is>
      </c>
      <c r="C2" s="1" t="inlineStr">
        <is>
          <t>Catchment Area (km²)</t>
        </is>
      </c>
      <c r="D2" s="1" t="inlineStr">
        <is>
          <t>% of Gaza</t>
        </is>
      </c>
      <c r="E2" s="1" t="inlineStr">
        <is>
          <t>Attacks in Catchment</t>
        </is>
      </c>
      <c r="F2" s="1" t="inlineStr">
        <is>
          <t>Total Attacks in Period</t>
        </is>
      </c>
    </row>
    <row r="3">
      <c r="A3" s="5" t="inlineStr">
        <is>
          <t>Al Shifa Medical Hospital</t>
        </is>
      </c>
      <c r="B3" s="6" t="inlineStr">
        <is>
          <t>Open</t>
        </is>
      </c>
      <c r="C3" s="7" t="n">
        <v>29.3587</v>
      </c>
      <c r="D3" s="8">
        <f>C3/364.871</f>
        <v/>
      </c>
      <c r="E3" s="9" t="n">
        <v>0</v>
      </c>
      <c r="F3" s="9" t="n">
        <v>0</v>
      </c>
    </row>
    <row r="4">
      <c r="A4" s="5" t="inlineStr">
        <is>
          <t>Al-Quds Hospital</t>
        </is>
      </c>
      <c r="B4" s="6" t="inlineStr">
        <is>
          <t>Open</t>
        </is>
      </c>
      <c r="C4" s="7" t="n">
        <v>33.0543</v>
      </c>
      <c r="D4" s="8">
        <f>C4/364.871</f>
        <v/>
      </c>
      <c r="E4" s="9" t="n">
        <v>0</v>
      </c>
      <c r="F4" s="9" t="n">
        <v>0</v>
      </c>
    </row>
    <row r="5">
      <c r="A5" s="5" t="inlineStr">
        <is>
          <t>Nasser Hospital</t>
        </is>
      </c>
      <c r="B5" s="6" t="inlineStr">
        <is>
          <t>Open</t>
        </is>
      </c>
      <c r="C5" s="7" t="n">
        <v>62.9446</v>
      </c>
      <c r="D5" s="8">
        <f>C5/364.871</f>
        <v/>
      </c>
      <c r="E5" s="9" t="n">
        <v>0</v>
      </c>
      <c r="F5" s="9" t="n">
        <v>0</v>
      </c>
    </row>
    <row r="6">
      <c r="A6" s="15" t="inlineStr">
        <is>
          <t>European Hospital</t>
        </is>
      </c>
      <c r="B6" s="16" t="inlineStr">
        <is>
          <t>Closed</t>
        </is>
      </c>
      <c r="C6" s="17" t="inlineStr">
        <is>
          <t>—</t>
        </is>
      </c>
      <c r="D6" s="17" t="inlineStr">
        <is>
          <t>—</t>
        </is>
      </c>
      <c r="E6" s="17" t="inlineStr">
        <is>
          <t>—</t>
        </is>
      </c>
      <c r="F6" s="17" t="n">
        <v>0</v>
      </c>
    </row>
    <row r="7">
      <c r="A7" s="5" t="inlineStr">
        <is>
          <t>Kuwait Hospital</t>
        </is>
      </c>
      <c r="B7" s="6" t="inlineStr">
        <is>
          <t>Open</t>
        </is>
      </c>
      <c r="C7" s="7" t="n">
        <v>42.154</v>
      </c>
      <c r="D7" s="8">
        <f>C7/364.871</f>
        <v/>
      </c>
      <c r="E7" s="9" t="n">
        <v>0</v>
      </c>
      <c r="F7" s="9" t="n">
        <v>0</v>
      </c>
    </row>
    <row r="8">
      <c r="A8" s="15" t="inlineStr">
        <is>
          <t>Al-Aqsa Hospital</t>
        </is>
      </c>
      <c r="B8" s="16" t="inlineStr">
        <is>
          <t>Closed</t>
        </is>
      </c>
      <c r="C8" s="17" t="inlineStr">
        <is>
          <t>—</t>
        </is>
      </c>
      <c r="D8" s="17" t="inlineStr">
        <is>
          <t>—</t>
        </is>
      </c>
      <c r="E8" s="17" t="inlineStr">
        <is>
          <t>—</t>
        </is>
      </c>
      <c r="F8" s="17" t="n">
        <v>0</v>
      </c>
    </row>
    <row r="9">
      <c r="A9" s="10" t="inlineStr">
        <is>
          <t>TOTAL</t>
        </is>
      </c>
      <c r="B9" s="11" t="inlineStr">
        <is>
          <t>4 open</t>
        </is>
      </c>
      <c r="C9" s="12">
        <f>C3+C4+C5+C7</f>
        <v/>
      </c>
      <c r="D9" s="13">
        <f>C9/364.871</f>
        <v/>
      </c>
      <c r="E9" s="14">
        <f>E3+E4+E5+E7</f>
        <v/>
      </c>
      <c r="F9" s="14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2026-03-16T19:04:13Z</dcterms:created>
  <dcterms:modified xsi:type="dcterms:W3CDTF">2026-03-16T19:04:13Z</dcterms:modified>
</cp:coreProperties>
</file>