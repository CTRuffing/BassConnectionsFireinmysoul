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rodduke-my.sharepoint.com/personal/ctr22_duke_edu/Documents/Documents/BassConnectionsFireinmysoul/"/>
    </mc:Choice>
  </mc:AlternateContent>
  <xr:revisionPtr revIDLastSave="9" documentId="11_0C115EDF8F79A89360642C52EA7BD2724AC1FA42" xr6:coauthVersionLast="47" xr6:coauthVersionMax="47" xr10:uidLastSave="{08047394-613E-49A6-A07A-14A597DB70E7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9" i="1"/>
</calcChain>
</file>

<file path=xl/sharedStrings.xml><?xml version="1.0" encoding="utf-8"?>
<sst xmlns="http://schemas.openxmlformats.org/spreadsheetml/2006/main" count="69" uniqueCount="52">
  <si>
    <t>period_start</t>
  </si>
  <si>
    <t>period_end.x</t>
  </si>
  <si>
    <t>period.x</t>
  </si>
  <si>
    <t>Burn</t>
  </si>
  <si>
    <t>CMF</t>
  </si>
  <si>
    <t>Limb</t>
  </si>
  <si>
    <t>NTD</t>
  </si>
  <si>
    <t>Soft Tissue</t>
  </si>
  <si>
    <t>Wound Care</t>
  </si>
  <si>
    <t>period_id</t>
  </si>
  <si>
    <t>period_end.y</t>
  </si>
  <si>
    <t>period.y</t>
  </si>
  <si>
    <t>Air/drone strike</t>
  </si>
  <si>
    <t>Ground Attacks</t>
  </si>
  <si>
    <t>Shelling/artillery/missile attack</t>
  </si>
  <si>
    <t>Civil Unrest</t>
  </si>
  <si>
    <t>Other</t>
  </si>
  <si>
    <t>avg_distance_km</t>
  </si>
  <si>
    <t>2025-01-20 to 2025-02-02</t>
  </si>
  <si>
    <t>2025-02-02</t>
  </si>
  <si>
    <t>2025-01-06 to 2025-01-19</t>
  </si>
  <si>
    <t>2025-01-19</t>
  </si>
  <si>
    <t>2024-12-23 to 2025-01-05</t>
  </si>
  <si>
    <t>2025-01-05</t>
  </si>
  <si>
    <t>2024-12-09 to 2024-12-22</t>
  </si>
  <si>
    <t>2024-12-22</t>
  </si>
  <si>
    <t>2024-11-25 to 2024-12-08</t>
  </si>
  <si>
    <t>2024-12-08</t>
  </si>
  <si>
    <t>2024-11-11 to 2024-11-24</t>
  </si>
  <si>
    <t>2024-11-24</t>
  </si>
  <si>
    <t>2024-04-15 to 2024-04-28</t>
  </si>
  <si>
    <t>2024-04-28</t>
  </si>
  <si>
    <t>2024-04-01 to 2024-04-14</t>
  </si>
  <si>
    <t>2024-04-14</t>
  </si>
  <si>
    <t>2024-03-18 to 2024-03-31</t>
  </si>
  <si>
    <t>2024-03-31</t>
  </si>
  <si>
    <t>2024-03-04 to 2024-03-17</t>
  </si>
  <si>
    <t>2024-03-17</t>
  </si>
  <si>
    <t>2024-02-19 to 2024-03-03</t>
  </si>
  <si>
    <t>2024-03-03</t>
  </si>
  <si>
    <t>2024-02-05 to 2024-02-18</t>
  </si>
  <si>
    <t>2024-02-18</t>
  </si>
  <si>
    <t>2024-01-22 to 2024-02-04</t>
  </si>
  <si>
    <t>2024-02-04</t>
  </si>
  <si>
    <t>2024-01-08 to 2024-01-21</t>
  </si>
  <si>
    <t>2024-01-21</t>
  </si>
  <si>
    <t>2023-12-11 to 2023-12-24</t>
  </si>
  <si>
    <t>2023-12-24</t>
  </si>
  <si>
    <t>2023-10-21 to 2023-11-03</t>
  </si>
  <si>
    <t>2023-11-03</t>
  </si>
  <si>
    <t>2023-10-07 to 2023-10-20</t>
  </si>
  <si>
    <t>2023-10-20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</si>
</sst>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\ \U\T\C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164" fontId="0" fillId="2" borderId="0" xfId="0" applyNumberFormat="1" applyFill="1"/>
    <xf numFmtId="0" fontId="0" fillId="2" borderId="0" xfId="0" applyFill="1"/>
    <xf numFmtId="164" fontId="0" fillId="3" borderId="0" xfId="0" applyNumberFormat="1" applyFill="1"/>
    <xf numFmtId="0" fontId="0" fillId="3" borderId="0" xfId="0" applyFill="1"/>
    <xf numFmtId="164" fontId="0" fillId="4" borderId="0" xfId="0" applyNumberForma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"/>
  <sheetViews>
    <sheetView tabSelected="1" workbookViewId="0">
      <selection activeCell="S2" sqref="S2"/>
    </sheetView>
  </sheetViews>
  <sheetFormatPr defaultRowHeight="14.4" x14ac:dyDescent="0.3"/>
  <cols>
    <col min="1" max="2" width="20.6640625" style="2" customWidth="1"/>
  </cols>
  <sheetData>
    <row r="1" spans="1:19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9" x14ac:dyDescent="0.3">
      <c r="A2" s="3">
        <v>45677</v>
      </c>
      <c r="B2" s="3">
        <v>45690</v>
      </c>
      <c r="C2" s="4" t="s">
        <v>18</v>
      </c>
      <c r="D2" s="4">
        <v>34</v>
      </c>
      <c r="E2" s="4">
        <v>0</v>
      </c>
      <c r="F2" s="4">
        <v>44</v>
      </c>
      <c r="G2" s="4">
        <v>0</v>
      </c>
      <c r="H2" s="4">
        <v>148</v>
      </c>
      <c r="I2" s="4">
        <v>133</v>
      </c>
      <c r="J2" s="4">
        <v>3</v>
      </c>
      <c r="K2" s="4" t="s">
        <v>19</v>
      </c>
      <c r="L2" s="4" t="s">
        <v>18</v>
      </c>
      <c r="M2" s="4">
        <v>13</v>
      </c>
      <c r="N2" s="4">
        <v>27</v>
      </c>
      <c r="O2" s="4">
        <v>20</v>
      </c>
      <c r="P2" s="4">
        <v>5</v>
      </c>
      <c r="Q2" s="4">
        <v>0</v>
      </c>
      <c r="R2" s="4">
        <v>4.136376498618044</v>
      </c>
      <c r="S2">
        <f t="shared" ref="S2:S8" si="0">SUM(M2:Q2)</f>
        <v>65</v>
      </c>
    </row>
    <row r="3" spans="1:19" x14ac:dyDescent="0.3">
      <c r="A3" s="3">
        <v>45663</v>
      </c>
      <c r="B3" s="3">
        <v>45676</v>
      </c>
      <c r="C3" s="4" t="s">
        <v>20</v>
      </c>
      <c r="D3" s="4">
        <v>32</v>
      </c>
      <c r="E3" s="4">
        <v>0</v>
      </c>
      <c r="F3" s="4">
        <v>55</v>
      </c>
      <c r="G3" s="4">
        <v>0</v>
      </c>
      <c r="H3" s="4">
        <v>119</v>
      </c>
      <c r="I3" s="4">
        <v>134</v>
      </c>
      <c r="J3" s="4">
        <v>3</v>
      </c>
      <c r="K3" s="4" t="s">
        <v>21</v>
      </c>
      <c r="L3" s="4" t="s">
        <v>20</v>
      </c>
      <c r="M3" s="4">
        <v>215</v>
      </c>
      <c r="N3" s="4">
        <v>28</v>
      </c>
      <c r="O3" s="4">
        <v>115</v>
      </c>
      <c r="P3" s="4">
        <v>35</v>
      </c>
      <c r="Q3" s="4">
        <v>1</v>
      </c>
      <c r="R3" s="4">
        <v>4.1718297347081021</v>
      </c>
      <c r="S3">
        <f t="shared" si="0"/>
        <v>394</v>
      </c>
    </row>
    <row r="4" spans="1:19" x14ac:dyDescent="0.3">
      <c r="A4" s="3">
        <v>45649</v>
      </c>
      <c r="B4" s="3">
        <v>45662</v>
      </c>
      <c r="C4" s="4" t="s">
        <v>22</v>
      </c>
      <c r="D4" s="4">
        <v>22</v>
      </c>
      <c r="E4" s="4">
        <v>0</v>
      </c>
      <c r="F4" s="4">
        <v>56</v>
      </c>
      <c r="G4" s="4">
        <v>0</v>
      </c>
      <c r="H4" s="4">
        <v>120</v>
      </c>
      <c r="I4" s="4">
        <v>114</v>
      </c>
      <c r="J4" s="4">
        <v>3</v>
      </c>
      <c r="K4" s="4" t="s">
        <v>23</v>
      </c>
      <c r="L4" s="4" t="s">
        <v>22</v>
      </c>
      <c r="M4" s="4">
        <v>237</v>
      </c>
      <c r="N4" s="4">
        <v>22</v>
      </c>
      <c r="O4" s="4">
        <v>107</v>
      </c>
      <c r="P4" s="4">
        <v>40</v>
      </c>
      <c r="Q4" s="4">
        <v>0</v>
      </c>
      <c r="R4" s="4">
        <v>4.4902062315534144</v>
      </c>
      <c r="S4">
        <f t="shared" si="0"/>
        <v>406</v>
      </c>
    </row>
    <row r="5" spans="1:19" x14ac:dyDescent="0.3">
      <c r="A5" s="3">
        <v>45635</v>
      </c>
      <c r="B5" s="3">
        <v>45648</v>
      </c>
      <c r="C5" s="4" t="s">
        <v>24</v>
      </c>
      <c r="D5" s="4">
        <v>8</v>
      </c>
      <c r="E5" s="4">
        <v>0</v>
      </c>
      <c r="F5" s="4">
        <v>57</v>
      </c>
      <c r="G5" s="4">
        <v>0</v>
      </c>
      <c r="H5" s="4">
        <v>122</v>
      </c>
      <c r="I5" s="4">
        <v>104</v>
      </c>
      <c r="J5" s="4">
        <v>3</v>
      </c>
      <c r="K5" s="4" t="s">
        <v>25</v>
      </c>
      <c r="L5" s="4" t="s">
        <v>24</v>
      </c>
      <c r="M5" s="4">
        <v>225</v>
      </c>
      <c r="N5" s="4">
        <v>25</v>
      </c>
      <c r="O5" s="4">
        <v>101</v>
      </c>
      <c r="P5" s="4">
        <v>57</v>
      </c>
      <c r="Q5" s="4">
        <v>1</v>
      </c>
      <c r="R5" s="4">
        <v>4.5180397129206424</v>
      </c>
      <c r="S5">
        <f t="shared" si="0"/>
        <v>409</v>
      </c>
    </row>
    <row r="6" spans="1:19" x14ac:dyDescent="0.3">
      <c r="A6" s="3">
        <v>45621</v>
      </c>
      <c r="B6" s="3">
        <v>45634</v>
      </c>
      <c r="C6" s="4" t="s">
        <v>26</v>
      </c>
      <c r="D6" s="4">
        <v>16</v>
      </c>
      <c r="E6" s="4">
        <v>0</v>
      </c>
      <c r="F6" s="4">
        <v>75</v>
      </c>
      <c r="G6" s="4">
        <v>0</v>
      </c>
      <c r="H6" s="4">
        <v>120</v>
      </c>
      <c r="I6" s="4">
        <v>73</v>
      </c>
      <c r="J6" s="4">
        <v>3</v>
      </c>
      <c r="K6" s="4" t="s">
        <v>27</v>
      </c>
      <c r="L6" s="4" t="s">
        <v>26</v>
      </c>
      <c r="M6" s="4">
        <v>207</v>
      </c>
      <c r="N6" s="4">
        <v>24</v>
      </c>
      <c r="O6" s="4">
        <v>132</v>
      </c>
      <c r="P6" s="4">
        <v>55</v>
      </c>
      <c r="Q6" s="4">
        <v>0</v>
      </c>
      <c r="R6" s="4">
        <v>4.5083897092387684</v>
      </c>
      <c r="S6">
        <f t="shared" si="0"/>
        <v>418</v>
      </c>
    </row>
    <row r="7" spans="1:19" x14ac:dyDescent="0.3">
      <c r="A7" s="3">
        <v>45607</v>
      </c>
      <c r="B7" s="3">
        <v>45620</v>
      </c>
      <c r="C7" s="4" t="s">
        <v>28</v>
      </c>
      <c r="D7" s="4">
        <v>19</v>
      </c>
      <c r="E7" s="4">
        <v>0</v>
      </c>
      <c r="F7" s="4">
        <v>78</v>
      </c>
      <c r="G7" s="4">
        <v>0</v>
      </c>
      <c r="H7" s="4">
        <v>133</v>
      </c>
      <c r="I7" s="4">
        <v>84</v>
      </c>
      <c r="J7" s="4">
        <v>3</v>
      </c>
      <c r="K7" s="4" t="s">
        <v>29</v>
      </c>
      <c r="L7" s="4" t="s">
        <v>28</v>
      </c>
      <c r="M7" s="4">
        <v>210</v>
      </c>
      <c r="N7" s="4">
        <v>35</v>
      </c>
      <c r="O7" s="4">
        <v>182</v>
      </c>
      <c r="P7" s="4">
        <v>38</v>
      </c>
      <c r="Q7" s="4">
        <v>6</v>
      </c>
      <c r="R7" s="4">
        <v>4.5618006932614881</v>
      </c>
      <c r="S7">
        <f t="shared" si="0"/>
        <v>471</v>
      </c>
    </row>
    <row r="8" spans="1:19" x14ac:dyDescent="0.3">
      <c r="A8" s="5">
        <v>45397</v>
      </c>
      <c r="B8" s="5">
        <v>45410</v>
      </c>
      <c r="C8" s="6" t="s">
        <v>30</v>
      </c>
      <c r="D8" s="6">
        <v>2</v>
      </c>
      <c r="E8" s="6">
        <v>0</v>
      </c>
      <c r="F8" s="6">
        <v>1</v>
      </c>
      <c r="G8" s="6">
        <v>0</v>
      </c>
      <c r="H8" s="6">
        <v>2</v>
      </c>
      <c r="I8" s="6">
        <v>3</v>
      </c>
      <c r="J8" s="6">
        <v>2</v>
      </c>
      <c r="K8" s="6" t="s">
        <v>31</v>
      </c>
      <c r="L8" s="6" t="s">
        <v>30</v>
      </c>
      <c r="M8" s="6">
        <v>248</v>
      </c>
      <c r="N8" s="6">
        <v>25</v>
      </c>
      <c r="O8" s="6">
        <v>157</v>
      </c>
      <c r="P8" s="6">
        <v>9</v>
      </c>
      <c r="Q8" s="6">
        <v>7</v>
      </c>
      <c r="R8" s="6">
        <v>4.7233513663585329</v>
      </c>
      <c r="S8">
        <f t="shared" si="0"/>
        <v>446</v>
      </c>
    </row>
    <row r="9" spans="1:19" x14ac:dyDescent="0.3">
      <c r="A9" s="5">
        <v>45383</v>
      </c>
      <c r="B9" s="5">
        <v>45396</v>
      </c>
      <c r="C9" s="6" t="s">
        <v>32</v>
      </c>
      <c r="D9" s="6">
        <v>3</v>
      </c>
      <c r="E9" s="6">
        <v>0</v>
      </c>
      <c r="F9" s="6">
        <v>7</v>
      </c>
      <c r="G9" s="6">
        <v>0</v>
      </c>
      <c r="H9" s="6">
        <v>8</v>
      </c>
      <c r="I9" s="6">
        <v>8</v>
      </c>
      <c r="J9" s="6">
        <v>2</v>
      </c>
      <c r="K9" s="6" t="s">
        <v>33</v>
      </c>
      <c r="L9" s="6" t="s">
        <v>32</v>
      </c>
      <c r="M9" s="6">
        <v>182</v>
      </c>
      <c r="N9" s="6">
        <v>32</v>
      </c>
      <c r="O9" s="6">
        <v>181</v>
      </c>
      <c r="P9" s="6">
        <v>15</v>
      </c>
      <c r="Q9" s="6">
        <v>10</v>
      </c>
      <c r="R9" s="6">
        <v>4.5411511566760154</v>
      </c>
      <c r="S9">
        <f>SUM(M9:Q9)</f>
        <v>420</v>
      </c>
    </row>
    <row r="10" spans="1:19" x14ac:dyDescent="0.3">
      <c r="A10" s="5">
        <v>45369</v>
      </c>
      <c r="B10" s="5">
        <v>45382</v>
      </c>
      <c r="C10" s="6" t="s">
        <v>34</v>
      </c>
      <c r="D10" s="6">
        <v>1</v>
      </c>
      <c r="E10" s="6">
        <v>3</v>
      </c>
      <c r="F10" s="6">
        <v>7</v>
      </c>
      <c r="G10" s="6">
        <v>0</v>
      </c>
      <c r="H10" s="6">
        <v>9</v>
      </c>
      <c r="I10" s="6">
        <v>3</v>
      </c>
      <c r="J10" s="6">
        <v>2</v>
      </c>
      <c r="K10" s="6" t="s">
        <v>35</v>
      </c>
      <c r="L10" s="6" t="s">
        <v>34</v>
      </c>
      <c r="M10" s="6">
        <v>243</v>
      </c>
      <c r="N10" s="6">
        <v>66</v>
      </c>
      <c r="O10" s="6">
        <v>204</v>
      </c>
      <c r="P10" s="6">
        <v>17</v>
      </c>
      <c r="Q10" s="6">
        <v>2</v>
      </c>
      <c r="R10" s="6">
        <v>4.2868819111544862</v>
      </c>
      <c r="S10">
        <f t="shared" ref="S10:S18" si="1">SUM(M10:Q10)</f>
        <v>532</v>
      </c>
    </row>
    <row r="11" spans="1:19" x14ac:dyDescent="0.3">
      <c r="A11" s="5">
        <v>45355</v>
      </c>
      <c r="B11" s="5">
        <v>45368</v>
      </c>
      <c r="C11" s="6" t="s">
        <v>36</v>
      </c>
      <c r="D11" s="6">
        <v>1</v>
      </c>
      <c r="E11" s="6">
        <v>2</v>
      </c>
      <c r="F11" s="6">
        <v>8</v>
      </c>
      <c r="G11" s="6">
        <v>1</v>
      </c>
      <c r="H11" s="6">
        <v>8</v>
      </c>
      <c r="I11" s="6">
        <v>7</v>
      </c>
      <c r="J11" s="6">
        <v>2</v>
      </c>
      <c r="K11" s="6" t="s">
        <v>37</v>
      </c>
      <c r="L11" s="6" t="s">
        <v>36</v>
      </c>
      <c r="M11" s="6">
        <v>246</v>
      </c>
      <c r="N11" s="6">
        <v>37</v>
      </c>
      <c r="O11" s="6">
        <v>231</v>
      </c>
      <c r="P11" s="6">
        <v>18</v>
      </c>
      <c r="Q11" s="6">
        <v>1</v>
      </c>
      <c r="R11" s="6">
        <v>4.6751769330395021</v>
      </c>
      <c r="S11">
        <f t="shared" si="1"/>
        <v>533</v>
      </c>
    </row>
    <row r="12" spans="1:19" x14ac:dyDescent="0.3">
      <c r="A12" s="5">
        <v>45341</v>
      </c>
      <c r="B12" s="5">
        <v>45354</v>
      </c>
      <c r="C12" s="6" t="s">
        <v>38</v>
      </c>
      <c r="D12" s="6">
        <v>0</v>
      </c>
      <c r="E12" s="6">
        <v>0</v>
      </c>
      <c r="F12" s="6">
        <v>5</v>
      </c>
      <c r="G12" s="6">
        <v>0</v>
      </c>
      <c r="H12" s="6">
        <v>4</v>
      </c>
      <c r="I12" s="6">
        <v>4</v>
      </c>
      <c r="J12" s="6">
        <v>2</v>
      </c>
      <c r="K12" s="6" t="s">
        <v>39</v>
      </c>
      <c r="L12" s="6" t="s">
        <v>38</v>
      </c>
      <c r="M12" s="6">
        <v>241</v>
      </c>
      <c r="N12" s="6">
        <v>55</v>
      </c>
      <c r="O12" s="6">
        <v>231</v>
      </c>
      <c r="P12" s="6">
        <v>22</v>
      </c>
      <c r="Q12" s="6">
        <v>0</v>
      </c>
      <c r="R12" s="6">
        <v>4.2999516326700657</v>
      </c>
      <c r="S12">
        <f t="shared" si="1"/>
        <v>549</v>
      </c>
    </row>
    <row r="13" spans="1:19" x14ac:dyDescent="0.3">
      <c r="A13" s="5">
        <v>45327</v>
      </c>
      <c r="B13" s="5">
        <v>45340</v>
      </c>
      <c r="C13" s="6" t="s">
        <v>40</v>
      </c>
      <c r="D13" s="6">
        <v>1</v>
      </c>
      <c r="E13" s="6">
        <v>2</v>
      </c>
      <c r="F13" s="6">
        <v>6</v>
      </c>
      <c r="G13" s="6">
        <v>0</v>
      </c>
      <c r="H13" s="6">
        <v>6</v>
      </c>
      <c r="I13" s="6">
        <v>7</v>
      </c>
      <c r="J13" s="6">
        <v>2</v>
      </c>
      <c r="K13" s="6" t="s">
        <v>41</v>
      </c>
      <c r="L13" s="6" t="s">
        <v>40</v>
      </c>
      <c r="M13" s="6">
        <v>260</v>
      </c>
      <c r="N13" s="6">
        <v>76</v>
      </c>
      <c r="O13" s="6">
        <v>161</v>
      </c>
      <c r="P13" s="6">
        <v>31</v>
      </c>
      <c r="Q13" s="6">
        <v>3</v>
      </c>
      <c r="R13" s="6">
        <v>3.709505535754547</v>
      </c>
      <c r="S13">
        <f t="shared" si="1"/>
        <v>531</v>
      </c>
    </row>
    <row r="14" spans="1:19" x14ac:dyDescent="0.3">
      <c r="A14" s="5">
        <v>45313</v>
      </c>
      <c r="B14" s="5">
        <v>45326</v>
      </c>
      <c r="C14" s="6" t="s">
        <v>42</v>
      </c>
      <c r="D14" s="6">
        <v>0</v>
      </c>
      <c r="E14" s="6">
        <v>0</v>
      </c>
      <c r="F14" s="6">
        <v>6</v>
      </c>
      <c r="G14" s="6">
        <v>0</v>
      </c>
      <c r="H14" s="6">
        <v>6</v>
      </c>
      <c r="I14" s="6">
        <v>6</v>
      </c>
      <c r="J14" s="6">
        <v>2</v>
      </c>
      <c r="K14" s="6" t="s">
        <v>43</v>
      </c>
      <c r="L14" s="6" t="s">
        <v>42</v>
      </c>
      <c r="M14" s="6">
        <v>206</v>
      </c>
      <c r="N14" s="6">
        <v>106</v>
      </c>
      <c r="O14" s="6">
        <v>234</v>
      </c>
      <c r="P14" s="6">
        <v>39</v>
      </c>
      <c r="Q14" s="6">
        <v>1</v>
      </c>
      <c r="R14" s="6">
        <v>3.8767340170062661</v>
      </c>
      <c r="S14">
        <f t="shared" si="1"/>
        <v>586</v>
      </c>
    </row>
    <row r="15" spans="1:19" x14ac:dyDescent="0.3">
      <c r="A15" s="5">
        <v>45299</v>
      </c>
      <c r="B15" s="5">
        <v>45312</v>
      </c>
      <c r="C15" s="6" t="s">
        <v>44</v>
      </c>
      <c r="D15" s="6">
        <v>0</v>
      </c>
      <c r="E15" s="6">
        <v>0</v>
      </c>
      <c r="F15" s="6">
        <v>2</v>
      </c>
      <c r="G15" s="6">
        <v>0</v>
      </c>
      <c r="H15" s="6">
        <v>2</v>
      </c>
      <c r="I15" s="6">
        <v>2</v>
      </c>
      <c r="J15" s="6">
        <v>2</v>
      </c>
      <c r="K15" s="6" t="s">
        <v>45</v>
      </c>
      <c r="L15" s="6" t="s">
        <v>44</v>
      </c>
      <c r="M15" s="6">
        <v>246</v>
      </c>
      <c r="N15" s="6">
        <v>124</v>
      </c>
      <c r="O15" s="6">
        <v>242</v>
      </c>
      <c r="P15" s="6">
        <v>33</v>
      </c>
      <c r="Q15" s="6">
        <v>0</v>
      </c>
      <c r="R15" s="6">
        <v>4.4762290296636644</v>
      </c>
      <c r="S15">
        <f t="shared" si="1"/>
        <v>645</v>
      </c>
    </row>
    <row r="16" spans="1:19" x14ac:dyDescent="0.3">
      <c r="A16" s="5">
        <v>45271</v>
      </c>
      <c r="B16" s="5">
        <v>45284</v>
      </c>
      <c r="C16" s="6" t="s">
        <v>46</v>
      </c>
      <c r="D16" s="6">
        <v>0</v>
      </c>
      <c r="E16" s="6">
        <v>0</v>
      </c>
      <c r="F16" s="6">
        <v>1</v>
      </c>
      <c r="G16" s="6">
        <v>0</v>
      </c>
      <c r="H16" s="6">
        <v>1</v>
      </c>
      <c r="I16" s="6">
        <v>1</v>
      </c>
      <c r="J16" s="6">
        <v>2</v>
      </c>
      <c r="K16" s="6" t="s">
        <v>47</v>
      </c>
      <c r="L16" s="6" t="s">
        <v>46</v>
      </c>
      <c r="M16" s="6">
        <v>260</v>
      </c>
      <c r="N16" s="6">
        <v>137</v>
      </c>
      <c r="O16" s="6">
        <v>238</v>
      </c>
      <c r="P16" s="6">
        <v>17</v>
      </c>
      <c r="Q16" s="6">
        <v>0</v>
      </c>
      <c r="R16" s="6">
        <v>4.1187976572422498</v>
      </c>
      <c r="S16">
        <f t="shared" si="1"/>
        <v>652</v>
      </c>
    </row>
    <row r="17" spans="1:19" x14ac:dyDescent="0.3">
      <c r="A17" s="7">
        <v>45220</v>
      </c>
      <c r="B17" s="7">
        <v>45233</v>
      </c>
      <c r="C17" s="8" t="s">
        <v>48</v>
      </c>
      <c r="D17" s="8">
        <v>15</v>
      </c>
      <c r="E17" s="8">
        <v>3</v>
      </c>
      <c r="F17" s="8">
        <v>1</v>
      </c>
      <c r="G17" s="8">
        <v>0</v>
      </c>
      <c r="H17" s="8">
        <v>16</v>
      </c>
      <c r="I17" s="8">
        <v>1</v>
      </c>
      <c r="J17" s="8">
        <v>1</v>
      </c>
      <c r="K17" s="8" t="s">
        <v>49</v>
      </c>
      <c r="L17" s="8" t="s">
        <v>48</v>
      </c>
      <c r="M17" s="8">
        <v>374</v>
      </c>
      <c r="N17" s="8">
        <v>67</v>
      </c>
      <c r="O17" s="8">
        <v>211</v>
      </c>
      <c r="P17" s="8">
        <v>1</v>
      </c>
      <c r="Q17" s="8">
        <v>3</v>
      </c>
      <c r="R17" s="8">
        <v>4.385888662670677</v>
      </c>
      <c r="S17">
        <f t="shared" si="1"/>
        <v>656</v>
      </c>
    </row>
    <row r="18" spans="1:19" x14ac:dyDescent="0.3">
      <c r="A18" s="7">
        <v>45206</v>
      </c>
      <c r="B18" s="7">
        <v>45219</v>
      </c>
      <c r="C18" s="8" t="s">
        <v>50</v>
      </c>
      <c r="D18" s="8">
        <v>37</v>
      </c>
      <c r="E18" s="8">
        <v>1</v>
      </c>
      <c r="F18" s="8">
        <v>11</v>
      </c>
      <c r="G18" s="8">
        <v>0</v>
      </c>
      <c r="H18" s="8">
        <v>44</v>
      </c>
      <c r="I18" s="8">
        <v>0</v>
      </c>
      <c r="J18" s="8">
        <v>1</v>
      </c>
      <c r="K18" s="8" t="s">
        <v>51</v>
      </c>
      <c r="L18" s="8" t="s">
        <v>50</v>
      </c>
      <c r="M18" s="8">
        <v>374</v>
      </c>
      <c r="N18" s="8">
        <v>5</v>
      </c>
      <c r="O18" s="8">
        <v>67</v>
      </c>
      <c r="P18" s="8">
        <v>1</v>
      </c>
      <c r="Q18" s="8">
        <v>4</v>
      </c>
      <c r="R18" s="8">
        <v>3.7632681279189102</v>
      </c>
      <c r="S18">
        <f t="shared" si="1"/>
        <v>451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Cooper Ruffing</cp:lastModifiedBy>
  <dcterms:created xsi:type="dcterms:W3CDTF">2026-01-29T04:04:58Z</dcterms:created>
  <dcterms:modified xsi:type="dcterms:W3CDTF">2026-01-30T04:20:13Z</dcterms:modified>
</cp:coreProperties>
</file>